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产品价格表" sheetId="2" state="visible" r:id="rId2"/>
    <sheet name="客户分级与目标" sheetId="3" state="visible" r:id="rId3"/>
    <sheet name="9销售个人目标" sheetId="4" state="visible" r:id="rId4"/>
    <sheet name="月度营收预测" sheetId="5" state="visible" r:id="rId5"/>
    <sheet name="AI累计曲线" sheetId="6" state="visible" r:id="rId6"/>
    <sheet name="90天损益现金流" sheetId="7" state="visible" r:id="rId7"/>
    <sheet name="敏感性分析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¥&quot;#,##0"/>
    <numFmt numFmtId="165" formatCode="0.0x"/>
    <numFmt numFmtId="166" formatCode="0&quot;万&quot;"/>
  </numFmts>
  <fonts count="6">
    <font>
      <name val="Calibri"/>
      <family val="2"/>
      <color theme="1"/>
      <sz val="11"/>
      <scheme val="minor"/>
    </font>
    <font>
      <name val="Microsoft YaHei"/>
      <b val="1"/>
      <color rgb="001F4E79"/>
      <sz val="16"/>
    </font>
    <font>
      <name val="Microsoft YaHei"/>
      <b val="1"/>
      <sz val="10"/>
    </font>
    <font>
      <name val="Microsoft YaHei"/>
      <b val="1"/>
      <color rgb="00FFFFFF"/>
      <sz val="11"/>
    </font>
    <font>
      <name val="Microsoft YaHei"/>
      <sz val="10"/>
    </font>
    <font>
      <name val="Microsoft YaHei"/>
      <color rgb="00595959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DEEBF7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164" fontId="2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164" fontId="2" fillId="6" borderId="1" applyAlignment="1" pivotButton="0" quotePrefix="0" xfId="0">
      <alignment horizontal="center" vertical="center" wrapText="1"/>
    </xf>
    <xf numFmtId="164" fontId="3" fillId="2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164" fontId="4" fillId="7" borderId="1" applyAlignment="1" pivotButton="0" quotePrefix="0" xfId="0">
      <alignment horizontal="center" vertical="center" wrapText="1"/>
    </xf>
    <xf numFmtId="164" fontId="2" fillId="7" borderId="1" applyAlignment="1" pivotButton="0" quotePrefix="0" xfId="0">
      <alignment horizontal="center" vertical="center" wrapText="1"/>
    </xf>
    <xf numFmtId="164" fontId="3" fillId="6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165" fontId="2" fillId="6" borderId="1" applyAlignment="1" pivotButton="0" quotePrefix="0" xfId="0">
      <alignment horizontal="center" vertical="center" wrapText="1"/>
    </xf>
    <xf numFmtId="166" fontId="2" fillId="7" borderId="1" applyAlignment="1" pivotButton="0" quotePrefix="0" xfId="0">
      <alignment horizontal="center" vertical="center" wrapText="1"/>
    </xf>
    <xf numFmtId="166" fontId="2" fillId="6" borderId="1" applyAlignment="1" pivotButton="0" quotePrefix="0" xfId="0">
      <alignment horizontal="center" vertical="center" wrapText="1"/>
    </xf>
    <xf numFmtId="166" fontId="2" fillId="5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165" fontId="2" fillId="7" borderId="1" applyAlignment="1" pivotButton="0" quotePrefix="0" xfId="0">
      <alignment horizontal="center" vertical="center" wrapText="1"/>
    </xf>
    <xf numFmtId="165" fontId="2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7"/>
  <sheetViews>
    <sheetView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70" customWidth="1" min="3" max="3"/>
  </cols>
  <sheetData>
    <row r="2">
      <c r="B2" s="1" t="inlineStr">
        <is>
          <t>¥500 万 / 月营收 90 天达成模型</t>
        </is>
      </c>
    </row>
    <row r="4" ht="50" customHeight="1">
      <c r="B4" s="2" t="inlineStr">
        <is>
          <t>适用对象</t>
        </is>
      </c>
      <c r="C4" s="3" t="inlineStr">
        <is>
          <t>老板 + 销售总监 + 财务</t>
        </is>
      </c>
    </row>
    <row r="5" ht="103.6" customHeight="1">
      <c r="B5" s="2" t="inlineStr">
        <is>
          <t>使用步骤</t>
        </is>
      </c>
      <c r="C5" s="3" t="inlineStr">
        <is>
          <t>① 『产品价格表』黄色 = 可调（5 大产品定价）
② 『客户分级与目标』黄色 = 1500 客户分配
③ 『9 销售个人目标』黄色 = 每销售月目标
④ 切换『月度营收预测』看 M1/M2/M3 累计
⑤ 切换『AI 累计曲线』看 90 天 AI 增长
⑥ 切换『敏感性分析』看保守/基准/乐观</t>
        </is>
      </c>
    </row>
    <row r="6" ht="109.2" customHeight="1">
      <c r="B6" s="2" t="inlineStr">
        <is>
          <t>核心假设</t>
        </is>
      </c>
      <c r="C6" s="3" t="inlineStr">
        <is>
          <t>- AI 累计：M1 100 / M2 400 / M3 800
- 工业 MES 月签：M1 0 / M2 2 / M3 3
- 钢贸 ERP 月签：M1 9 / M2 12 / M3 15
- 库准 WMS 月签：M1 1 / M2 3 / M3 6
- 90 天总投入 ¥180 万 / 回款 ¥840 万</t>
        </is>
      </c>
    </row>
    <row r="7" ht="50" customHeight="1">
      <c r="B7" s="2" t="inlineStr">
        <is>
          <t>修改边界</t>
        </is>
      </c>
      <c r="C7" s="3" t="inlineStr">
        <is>
          <t>只改黄色；公式和表头不要改</t>
        </is>
      </c>
    </row>
  </sheetData>
  <mergeCells count="1"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15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4" customWidth="1" min="3" max="3"/>
    <col width="14" customWidth="1" min="4" max="4"/>
    <col width="14" customWidth="1" min="5" max="5"/>
    <col width="30" customWidth="1" min="6" max="6"/>
  </cols>
  <sheetData>
    <row r="2">
      <c r="B2" s="1" t="inlineStr">
        <is>
          <t>5 大产品价格表（黄色 = 可调）</t>
        </is>
      </c>
    </row>
    <row r="4">
      <c r="B4" s="2" t="inlineStr">
        <is>
          <t>产品</t>
        </is>
      </c>
      <c r="C4" s="2" t="inlineStr">
        <is>
          <t>版本</t>
        </is>
      </c>
      <c r="D4" s="2" t="inlineStr">
        <is>
          <t>单价(¥)</t>
        </is>
      </c>
      <c r="E4" s="2" t="inlineStr">
        <is>
          <t>类型</t>
        </is>
      </c>
      <c r="F4" s="2" t="inlineStr">
        <is>
          <t>目标客户</t>
        </is>
      </c>
    </row>
    <row r="5">
      <c r="B5" s="4" t="inlineStr">
        <is>
          <t>钢贸 ERP</t>
        </is>
      </c>
      <c r="C5" s="5" t="inlineStr">
        <is>
          <t>入门版</t>
        </is>
      </c>
      <c r="D5" s="6" t="n">
        <v>2800</v>
      </c>
      <c r="E5" s="5" t="inlineStr">
        <is>
          <t>一次性 / 用户</t>
        </is>
      </c>
      <c r="F5" s="7" t="inlineStr">
        <is>
          <t>C 段小客户</t>
        </is>
      </c>
    </row>
    <row r="6">
      <c r="B6" s="8" t="inlineStr">
        <is>
          <t>钢贸 ERP</t>
        </is>
      </c>
      <c r="C6" s="9" t="inlineStr">
        <is>
          <t>经营版</t>
        </is>
      </c>
      <c r="D6" s="6" t="n">
        <v>5500</v>
      </c>
      <c r="E6" s="9" t="inlineStr">
        <is>
          <t>一次性 / 用户</t>
        </is>
      </c>
      <c r="F6" s="10" t="inlineStr">
        <is>
          <t>B 段中型</t>
        </is>
      </c>
    </row>
    <row r="7">
      <c r="B7" s="4" t="inlineStr">
        <is>
          <t>钢贸 ERP</t>
        </is>
      </c>
      <c r="C7" s="5" t="inlineStr">
        <is>
          <t>旗舰版</t>
        </is>
      </c>
      <c r="D7" s="6" t="n">
        <v>8500</v>
      </c>
      <c r="E7" s="5" t="inlineStr">
        <is>
          <t>一次性 / 用户</t>
        </is>
      </c>
      <c r="F7" s="7" t="inlineStr">
        <is>
          <t>A/S 段大客户</t>
        </is>
      </c>
    </row>
    <row r="8">
      <c r="B8" s="8" t="inlineStr">
        <is>
          <t>库准 WMS</t>
        </is>
      </c>
      <c r="C8" s="9" t="inlineStr">
        <is>
          <t>轻量版（新）</t>
        </is>
      </c>
      <c r="D8" s="6" t="n">
        <v>5000</v>
      </c>
      <c r="E8" s="9" t="inlineStr">
        <is>
          <t>一次性 / 用户</t>
        </is>
      </c>
      <c r="F8" s="10" t="inlineStr">
        <is>
          <t>C 段（≤5 用户）</t>
        </is>
      </c>
    </row>
    <row r="9">
      <c r="B9" s="4" t="inlineStr">
        <is>
          <t>库准 WMS</t>
        </is>
      </c>
      <c r="C9" s="5" t="inlineStr">
        <is>
          <t>标准版</t>
        </is>
      </c>
      <c r="D9" s="6" t="n">
        <v>10000</v>
      </c>
      <c r="E9" s="5" t="inlineStr">
        <is>
          <t>一次性 / 用户</t>
        </is>
      </c>
      <c r="F9" s="7" t="inlineStr">
        <is>
          <t>B 段腰部</t>
        </is>
      </c>
    </row>
    <row r="10">
      <c r="B10" s="8" t="inlineStr">
        <is>
          <t>库准 WMS</t>
        </is>
      </c>
      <c r="C10" s="9" t="inlineStr">
        <is>
          <t>旗舰版</t>
        </is>
      </c>
      <c r="D10" s="6" t="n">
        <v>18000</v>
      </c>
      <c r="E10" s="9" t="inlineStr">
        <is>
          <t>一次性 / 用户</t>
        </is>
      </c>
      <c r="F10" s="10" t="inlineStr">
        <is>
          <t>S 段集团</t>
        </is>
      </c>
    </row>
    <row r="11">
      <c r="B11" s="4" t="inlineStr">
        <is>
          <t>工业 MES</t>
        </is>
      </c>
      <c r="C11" s="5" t="inlineStr">
        <is>
          <t>标准版</t>
        </is>
      </c>
      <c r="D11" s="6" t="n">
        <v>300000</v>
      </c>
      <c r="E11" s="5" t="inlineStr">
        <is>
          <t>一次性 / 项目</t>
        </is>
      </c>
      <c r="F11" s="7" t="inlineStr">
        <is>
          <t>S/A 段（有生产）</t>
        </is>
      </c>
    </row>
    <row r="12">
      <c r="B12" s="8" t="inlineStr">
        <is>
          <t>货袋子</t>
        </is>
      </c>
      <c r="C12" s="9" t="inlineStr">
        <is>
          <t>免费版</t>
        </is>
      </c>
      <c r="D12" s="6" t="n">
        <v>0</v>
      </c>
      <c r="E12" s="9" t="inlineStr">
        <is>
          <t>免费</t>
        </is>
      </c>
      <c r="F12" s="10" t="inlineStr">
        <is>
          <t>全客户</t>
        </is>
      </c>
    </row>
    <row r="13">
      <c r="B13" s="4" t="inlineStr">
        <is>
          <t>AI 入门包</t>
        </is>
      </c>
      <c r="C13" s="5" t="inlineStr">
        <is>
          <t>3 个 AI</t>
        </is>
      </c>
      <c r="D13" s="6" t="n">
        <v>4000</v>
      </c>
      <c r="E13" s="5" t="inlineStr">
        <is>
          <t>月费</t>
        </is>
      </c>
      <c r="F13" s="7" t="inlineStr">
        <is>
          <t>C 段</t>
        </is>
      </c>
    </row>
    <row r="14">
      <c r="B14" s="8" t="inlineStr">
        <is>
          <t>AI 经营包</t>
        </is>
      </c>
      <c r="C14" s="9" t="inlineStr">
        <is>
          <t>5 个 AI</t>
        </is>
      </c>
      <c r="D14" s="6" t="n">
        <v>7500</v>
      </c>
      <c r="E14" s="9" t="inlineStr">
        <is>
          <t>月费</t>
        </is>
      </c>
      <c r="F14" s="10" t="inlineStr">
        <is>
          <t>B 段</t>
        </is>
      </c>
    </row>
    <row r="15">
      <c r="B15" s="4" t="inlineStr">
        <is>
          <t>AI 旗舰包</t>
        </is>
      </c>
      <c r="C15" s="5" t="inlineStr">
        <is>
          <t>8 个 AI</t>
        </is>
      </c>
      <c r="D15" s="6" t="n">
        <v>12000</v>
      </c>
      <c r="E15" s="5" t="inlineStr">
        <is>
          <t>月费</t>
        </is>
      </c>
      <c r="F15" s="7" t="inlineStr">
        <is>
          <t>A/S 段</t>
        </is>
      </c>
    </row>
  </sheetData>
  <mergeCells count="1">
    <mergeCell ref="B2:F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I9"/>
  <sheetViews>
    <sheetView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14" customWidth="1" min="3" max="3"/>
    <col width="14" customWidth="1" min="4" max="4"/>
    <col width="18" customWidth="1" min="5" max="5"/>
    <col width="14" customWidth="1" min="6" max="6"/>
    <col width="14" customWidth="1" min="7" max="7"/>
    <col width="14" customWidth="1" min="8" max="8"/>
  </cols>
  <sheetData>
    <row r="2">
      <c r="B2" s="1" t="inlineStr">
        <is>
          <t>1500 客户分级 + 90 天转化目标</t>
        </is>
      </c>
    </row>
    <row r="4">
      <c r="B4" s="2" t="inlineStr">
        <is>
          <t>客户段</t>
        </is>
      </c>
      <c r="C4" s="2" t="inlineStr">
        <is>
          <t>客户数</t>
        </is>
      </c>
      <c r="D4" s="2" t="inlineStr">
        <is>
          <t>占比</t>
        </is>
      </c>
      <c r="E4" s="2" t="inlineStr">
        <is>
          <t>目标转化数</t>
        </is>
      </c>
      <c r="F4" s="2" t="inlineStr">
        <is>
          <t>转化率</t>
        </is>
      </c>
      <c r="G4" s="2" t="inlineStr">
        <is>
          <t>主推套餐</t>
        </is>
      </c>
      <c r="H4" s="2" t="inlineStr">
        <is>
          <t>ARPU(¥/月)</t>
        </is>
      </c>
      <c r="I4" s="2" t="inlineStr">
        <is>
          <t>首付(¥)</t>
        </is>
      </c>
    </row>
    <row r="5">
      <c r="B5" s="11" t="inlineStr">
        <is>
          <t>S 段</t>
        </is>
      </c>
      <c r="C5" s="11" t="n">
        <v>50</v>
      </c>
      <c r="D5" s="5" t="inlineStr">
        <is>
          <t>3%</t>
        </is>
      </c>
      <c r="E5" s="12" t="n">
        <v>8</v>
      </c>
      <c r="F5" s="5" t="inlineStr">
        <is>
          <t>16%</t>
        </is>
      </c>
      <c r="G5" s="7" t="inlineStr">
        <is>
          <t>MES + ERP 旗舰 + WMS + AI 旗舰</t>
        </is>
      </c>
      <c r="H5" s="6" t="n">
        <v>12000</v>
      </c>
    </row>
    <row r="6">
      <c r="B6" s="13" t="inlineStr">
        <is>
          <t>A 段</t>
        </is>
      </c>
      <c r="C6" s="13" t="n">
        <v>300</v>
      </c>
      <c r="D6" s="9" t="inlineStr">
        <is>
          <t>20%</t>
        </is>
      </c>
      <c r="E6" s="12" t="n">
        <v>35</v>
      </c>
      <c r="F6" s="9" t="inlineStr">
        <is>
          <t>11.7%</t>
        </is>
      </c>
      <c r="G6" s="10" t="inlineStr">
        <is>
          <t>ERP 旗舰 + WMS + AI 旗舰</t>
        </is>
      </c>
      <c r="H6" s="6" t="n">
        <v>12000</v>
      </c>
    </row>
    <row r="7">
      <c r="B7" s="11" t="inlineStr">
        <is>
          <t>B 段</t>
        </is>
      </c>
      <c r="C7" s="11" t="n">
        <v>450</v>
      </c>
      <c r="D7" s="5" t="inlineStr">
        <is>
          <t>30%</t>
        </is>
      </c>
      <c r="E7" s="12" t="n">
        <v>120</v>
      </c>
      <c r="F7" s="5" t="inlineStr">
        <is>
          <t>26.7%</t>
        </is>
      </c>
      <c r="G7" s="7" t="inlineStr">
        <is>
          <t>ERP 经营 + AI 经营</t>
        </is>
      </c>
      <c r="H7" s="6" t="n">
        <v>7500</v>
      </c>
    </row>
    <row r="8">
      <c r="B8" s="13" t="inlineStr">
        <is>
          <t>C 段</t>
        </is>
      </c>
      <c r="C8" s="13" t="n">
        <v>700</v>
      </c>
      <c r="D8" s="9" t="inlineStr">
        <is>
          <t>47%</t>
        </is>
      </c>
      <c r="E8" s="12" t="n">
        <v>600</v>
      </c>
      <c r="F8" s="9" t="inlineStr">
        <is>
          <t>85.7%</t>
        </is>
      </c>
      <c r="G8" s="10" t="inlineStr">
        <is>
          <t>AI 入门</t>
        </is>
      </c>
      <c r="H8" s="6" t="n">
        <v>4000</v>
      </c>
    </row>
    <row r="9">
      <c r="B9" s="2" t="inlineStr">
        <is>
          <t>合计</t>
        </is>
      </c>
      <c r="C9" s="2">
        <f>SUM(C5:C8)</f>
        <v/>
      </c>
      <c r="E9" s="2">
        <f>SUM(E5:E8)</f>
        <v/>
      </c>
    </row>
  </sheetData>
  <mergeCells count="1"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H16"/>
  <sheetViews>
    <sheetView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14" customWidth="1" min="3" max="3"/>
    <col width="12" customWidth="1" min="4" max="4"/>
    <col width="12" customWidth="1" min="5" max="5"/>
    <col width="12" customWidth="1" min="6" max="6"/>
    <col width="14" customWidth="1" min="7" max="7"/>
    <col width="28" customWidth="1" min="8" max="8"/>
  </cols>
  <sheetData>
    <row r="2">
      <c r="B2" s="1" t="inlineStr">
        <is>
          <t>9 销售个人 90 天目标</t>
        </is>
      </c>
    </row>
    <row r="4">
      <c r="B4" s="2" t="inlineStr">
        <is>
          <t>销售</t>
        </is>
      </c>
      <c r="C4" s="2" t="inlineStr">
        <is>
          <t>角色</t>
        </is>
      </c>
      <c r="D4" s="2" t="inlineStr">
        <is>
          <t>M1(¥万)</t>
        </is>
      </c>
      <c r="E4" s="2" t="inlineStr">
        <is>
          <t>M2(¥万)</t>
        </is>
      </c>
      <c r="F4" s="2" t="inlineStr">
        <is>
          <t>M3(¥万)</t>
        </is>
      </c>
      <c r="G4" s="2" t="inlineStr">
        <is>
          <t>90 天合计(¥万)</t>
        </is>
      </c>
      <c r="H4" s="2" t="inlineStr">
        <is>
          <t>主攻产品</t>
        </is>
      </c>
    </row>
    <row r="5">
      <c r="B5" s="11" t="inlineStr">
        <is>
          <t>A1</t>
        </is>
      </c>
      <c r="C5" s="5" t="inlineStr">
        <is>
          <t>大客户铁三角</t>
        </is>
      </c>
      <c r="D5" s="12" t="n">
        <v>30</v>
      </c>
      <c r="E5" s="12" t="n">
        <v>60</v>
      </c>
      <c r="F5" s="12" t="n">
        <v>90</v>
      </c>
      <c r="G5" s="14">
        <f>D5+E5+F5</f>
        <v/>
      </c>
      <c r="H5" s="7" t="inlineStr">
        <is>
          <t>MES + ERP 大单 + WMS</t>
        </is>
      </c>
    </row>
    <row r="6">
      <c r="B6" s="13" t="inlineStr">
        <is>
          <t>A2</t>
        </is>
      </c>
      <c r="C6" s="9" t="inlineStr">
        <is>
          <t>大客户铁三角</t>
        </is>
      </c>
      <c r="D6" s="12" t="n">
        <v>30</v>
      </c>
      <c r="E6" s="12" t="n">
        <v>60</v>
      </c>
      <c r="F6" s="12" t="n">
        <v>80</v>
      </c>
      <c r="G6" s="14">
        <f>D6+E6+F6</f>
        <v/>
      </c>
      <c r="H6" s="10" t="inlineStr">
        <is>
          <t>MES + ERP 大单（钢管）</t>
        </is>
      </c>
    </row>
    <row r="7">
      <c r="B7" s="11" t="inlineStr">
        <is>
          <t>A3</t>
        </is>
      </c>
      <c r="C7" s="5" t="inlineStr">
        <is>
          <t>大客户铁三角</t>
        </is>
      </c>
      <c r="D7" s="12" t="n">
        <v>25</v>
      </c>
      <c r="E7" s="12" t="n">
        <v>50</v>
      </c>
      <c r="F7" s="12" t="n">
        <v>70</v>
      </c>
      <c r="G7" s="14">
        <f>D7+E7+F7</f>
        <v/>
      </c>
      <c r="H7" s="7" t="inlineStr">
        <is>
          <t>MES + ERP 大单（镀锌）</t>
        </is>
      </c>
    </row>
    <row r="8">
      <c r="B8" s="13" t="inlineStr">
        <is>
          <t>B1</t>
        </is>
      </c>
      <c r="C8" s="9" t="inlineStr">
        <is>
          <t>中端铁二角</t>
        </is>
      </c>
      <c r="D8" s="12" t="n">
        <v>15</v>
      </c>
      <c r="E8" s="12" t="n">
        <v>30</v>
      </c>
      <c r="F8" s="12" t="n">
        <v>50</v>
      </c>
      <c r="G8" s="14">
        <f>D8+E8+F8</f>
        <v/>
      </c>
      <c r="H8" s="10" t="inlineStr">
        <is>
          <t>ERP 升级 + AI 经营</t>
        </is>
      </c>
    </row>
    <row r="9">
      <c r="B9" s="11" t="inlineStr">
        <is>
          <t>B2</t>
        </is>
      </c>
      <c r="C9" s="5" t="inlineStr">
        <is>
          <t>中端铁二角</t>
        </is>
      </c>
      <c r="D9" s="12" t="n">
        <v>15</v>
      </c>
      <c r="E9" s="12" t="n">
        <v>30</v>
      </c>
      <c r="F9" s="12" t="n">
        <v>50</v>
      </c>
      <c r="G9" s="14">
        <f>D9+E9+F9</f>
        <v/>
      </c>
      <c r="H9" s="7" t="inlineStr">
        <is>
          <t>ERP 升级 + AI 经营（珠三角）</t>
        </is>
      </c>
    </row>
    <row r="10">
      <c r="B10" s="13" t="inlineStr">
        <is>
          <t>B3</t>
        </is>
      </c>
      <c r="C10" s="9" t="inlineStr">
        <is>
          <t>中端铁二角</t>
        </is>
      </c>
      <c r="D10" s="12" t="n">
        <v>10</v>
      </c>
      <c r="E10" s="12" t="n">
        <v>30</v>
      </c>
      <c r="F10" s="12" t="n">
        <v>50</v>
      </c>
      <c r="G10" s="14">
        <f>D10+E10+F10</f>
        <v/>
      </c>
      <c r="H10" s="10" t="inlineStr">
        <is>
          <t>ERP + AI（开平 / 纵剪）</t>
        </is>
      </c>
    </row>
    <row r="11">
      <c r="B11" s="11" t="inlineStr">
        <is>
          <t>C1</t>
        </is>
      </c>
      <c r="C11" s="5" t="inlineStr">
        <is>
          <t>电销批量</t>
        </is>
      </c>
      <c r="D11" s="12" t="n">
        <v>8</v>
      </c>
      <c r="E11" s="12" t="n">
        <v>25</v>
      </c>
      <c r="F11" s="12" t="n">
        <v>45</v>
      </c>
      <c r="G11" s="14">
        <f>D11+E11+F11</f>
        <v/>
      </c>
      <c r="H11" s="7" t="inlineStr">
        <is>
          <t>AI 入门包（老客户激活）</t>
        </is>
      </c>
    </row>
    <row r="12">
      <c r="B12" s="13" t="inlineStr">
        <is>
          <t>C2</t>
        </is>
      </c>
      <c r="C12" s="9" t="inlineStr">
        <is>
          <t>电销批量</t>
        </is>
      </c>
      <c r="D12" s="12" t="n">
        <v>8</v>
      </c>
      <c r="E12" s="12" t="n">
        <v>25</v>
      </c>
      <c r="F12" s="12" t="n">
        <v>45</v>
      </c>
      <c r="G12" s="14">
        <f>D12+E12+F12</f>
        <v/>
      </c>
      <c r="H12" s="10" t="inlineStr">
        <is>
          <t>AI 入门包（老带新）</t>
        </is>
      </c>
    </row>
    <row r="13">
      <c r="B13" s="11" t="inlineStr">
        <is>
          <t>C3</t>
        </is>
      </c>
      <c r="C13" s="5" t="inlineStr">
        <is>
          <t>电销批量</t>
        </is>
      </c>
      <c r="D13" s="12" t="n">
        <v>7</v>
      </c>
      <c r="E13" s="12" t="n">
        <v>35</v>
      </c>
      <c r="F13" s="12" t="n">
        <v>45</v>
      </c>
      <c r="G13" s="14">
        <f>D13+E13+F13</f>
        <v/>
      </c>
      <c r="H13" s="7" t="inlineStr">
        <is>
          <t>AI 入门包（货袋子拓客）</t>
        </is>
      </c>
    </row>
    <row r="14">
      <c r="B14" s="2" t="inlineStr">
        <is>
          <t>9 销售合计</t>
        </is>
      </c>
      <c r="D14" s="2">
        <f>SUM(D5:D13)</f>
        <v/>
      </c>
      <c r="E14" s="2">
        <f>SUM(E5:E13)</f>
        <v/>
      </c>
      <c r="F14" s="2">
        <f>SUM(F5:F13)</f>
        <v/>
      </c>
      <c r="G14" s="2">
        <f>SUM(G5:G13)</f>
        <v/>
      </c>
    </row>
    <row r="16">
      <c r="B16" s="15" t="inlineStr">
        <is>
          <t>★ 9 销售 M3 合计 ≥ ¥500 万 ✅ 达标</t>
        </is>
      </c>
    </row>
  </sheetData>
  <mergeCells count="2">
    <mergeCell ref="B16:H16"/>
    <mergeCell ref="B2:H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F13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4" customWidth="1" min="3" max="3"/>
    <col width="14" customWidth="1" min="4" max="4"/>
    <col width="14" customWidth="1" min="5" max="5"/>
    <col width="16" customWidth="1" min="6" max="6"/>
  </cols>
  <sheetData>
    <row r="2">
      <c r="B2" s="1" t="inlineStr">
        <is>
          <t>月度营收预测 M1/M2/M3</t>
        </is>
      </c>
    </row>
    <row r="4">
      <c r="B4" s="2" t="inlineStr">
        <is>
          <t>产品</t>
        </is>
      </c>
      <c r="C4" s="2" t="inlineStr">
        <is>
          <t>M1(¥)</t>
        </is>
      </c>
      <c r="D4" s="2" t="inlineStr">
        <is>
          <t>M2(¥)</t>
        </is>
      </c>
      <c r="E4" s="2" t="inlineStr">
        <is>
          <t>M3(¥)</t>
        </is>
      </c>
      <c r="F4" s="2" t="inlineStr">
        <is>
          <t>90 天合计(¥)</t>
        </is>
      </c>
    </row>
    <row r="5">
      <c r="B5" s="4" t="inlineStr">
        <is>
          <t>工业 MES（首付）</t>
        </is>
      </c>
      <c r="C5" s="6" t="n">
        <v>0</v>
      </c>
      <c r="D5" s="6" t="n">
        <v>600000</v>
      </c>
      <c r="E5" s="6" t="n">
        <v>900000</v>
      </c>
      <c r="F5" s="16">
        <f>C5+D5+E5</f>
        <v/>
      </c>
    </row>
    <row r="6">
      <c r="B6" s="8" t="inlineStr">
        <is>
          <t>钢贸 ERP（首付）</t>
        </is>
      </c>
      <c r="C6" s="6" t="n">
        <v>600000</v>
      </c>
      <c r="D6" s="6" t="n">
        <v>800000</v>
      </c>
      <c r="E6" s="6" t="n">
        <v>1000000</v>
      </c>
      <c r="F6" s="16">
        <f>C6+D6+E6</f>
        <v/>
      </c>
    </row>
    <row r="7">
      <c r="B7" s="4" t="inlineStr">
        <is>
          <t>库准 WMS（首付）</t>
        </is>
      </c>
      <c r="C7" s="6" t="n">
        <v>100000</v>
      </c>
      <c r="D7" s="6" t="n">
        <v>300000</v>
      </c>
      <c r="E7" s="6" t="n">
        <v>600000</v>
      </c>
      <c r="F7" s="16">
        <f>C7+D7+E7</f>
        <v/>
      </c>
    </row>
    <row r="8">
      <c r="B8" s="8" t="inlineStr">
        <is>
          <t>AI 累计月费</t>
        </is>
      </c>
      <c r="C8" s="6" t="n">
        <v>400000</v>
      </c>
      <c r="D8" s="6" t="n">
        <v>1600000</v>
      </c>
      <c r="E8" s="6" t="n">
        <v>3200000</v>
      </c>
      <c r="F8" s="16">
        <f>C8+D8+E8</f>
        <v/>
      </c>
    </row>
    <row r="9">
      <c r="B9" s="4" t="inlineStr">
        <is>
          <t>货袋子</t>
        </is>
      </c>
      <c r="C9" s="6" t="n">
        <v>0</v>
      </c>
      <c r="D9" s="6" t="n">
        <v>0</v>
      </c>
      <c r="E9" s="6" t="n">
        <v>0</v>
      </c>
      <c r="F9" s="16">
        <f>C9+D9+E9</f>
        <v/>
      </c>
    </row>
    <row r="10">
      <c r="B10" s="8" t="inlineStr">
        <is>
          <t>增值服务</t>
        </is>
      </c>
      <c r="C10" s="6" t="n">
        <v>50000</v>
      </c>
      <c r="D10" s="6" t="n">
        <v>100000</v>
      </c>
      <c r="E10" s="6" t="n">
        <v>200000</v>
      </c>
      <c r="F10" s="16">
        <f>C10+D10+E10</f>
        <v/>
      </c>
    </row>
    <row r="11">
      <c r="B11" s="2" t="inlineStr">
        <is>
          <t>月度合计</t>
        </is>
      </c>
      <c r="C11" s="17">
        <f>SUM(C5:C10)</f>
        <v/>
      </c>
      <c r="D11" s="17">
        <f>SUM(D5:D10)</f>
        <v/>
      </c>
      <c r="E11" s="17">
        <f>SUM(E5:E10)</f>
        <v/>
      </c>
      <c r="F11" s="17">
        <f>SUM(F5:F10)</f>
        <v/>
      </c>
    </row>
    <row r="13">
      <c r="B13" s="15">
        <f>IF(E11&gt;=5000000,"★ M3 ¥500 万 ✅ 达标","M3 未达 ¥500 万")</f>
        <v/>
      </c>
    </row>
  </sheetData>
  <mergeCells count="2">
    <mergeCell ref="B2:F2"/>
    <mergeCell ref="B13:F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F11"/>
  <sheetViews>
    <sheetView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2">
      <c r="B2" s="1" t="inlineStr">
        <is>
          <t>AI 累计客户增长曲线（90 天）</t>
        </is>
      </c>
    </row>
    <row r="4">
      <c r="B4" s="2" t="inlineStr">
        <is>
          <t>月末</t>
        </is>
      </c>
      <c r="C4" s="2" t="inlineStr">
        <is>
          <t>月新增</t>
        </is>
      </c>
      <c r="D4" s="2" t="inlineStr">
        <is>
          <t>累计客户</t>
        </is>
      </c>
      <c r="E4" s="2" t="inlineStr">
        <is>
          <t>ARPU(¥/月)</t>
        </is>
      </c>
      <c r="F4" s="2" t="inlineStr">
        <is>
          <t>月营收(¥)</t>
        </is>
      </c>
    </row>
    <row r="5">
      <c r="B5" s="13" t="inlineStr">
        <is>
          <t>M1 末（D30）</t>
        </is>
      </c>
      <c r="C5" s="12" t="n">
        <v>100</v>
      </c>
      <c r="D5" s="12" t="n">
        <v>100</v>
      </c>
      <c r="E5" s="18" t="n">
        <v>4000</v>
      </c>
      <c r="F5" s="16">
        <f>D5*E5</f>
        <v/>
      </c>
    </row>
    <row r="6">
      <c r="B6" s="13" t="inlineStr">
        <is>
          <t>M2 末（D60）</t>
        </is>
      </c>
      <c r="C6" s="12" t="n">
        <v>300</v>
      </c>
      <c r="D6" s="12" t="n">
        <v>400</v>
      </c>
      <c r="E6" s="18" t="n">
        <v>4000</v>
      </c>
      <c r="F6" s="16">
        <f>D6*E6</f>
        <v/>
      </c>
    </row>
    <row r="7">
      <c r="B7" s="14" t="inlineStr">
        <is>
          <t>M3 末（D90）</t>
        </is>
      </c>
      <c r="C7" s="12" t="n">
        <v>400</v>
      </c>
      <c r="D7" s="12" t="n">
        <v>800</v>
      </c>
      <c r="E7" s="18" t="n">
        <v>4000</v>
      </c>
      <c r="F7" s="16">
        <f>D7*E7</f>
        <v/>
      </c>
    </row>
    <row r="9">
      <c r="B9" s="19" t="inlineStr">
        <is>
          <t>★ ARPU 提升机会：
- 默认 ARPU ¥4,000 = 全部入门包
- 优化：入门 70% + 经营 25% + 旗舰 5%
- 加权 ARPU = 4000×0.7 + 7500×0.25 + 12000×0.05 = ¥5,275
- 800 客户 × ¥5,275 = ¥422 万 / 月（vs 默认 ¥320 万）</t>
        </is>
      </c>
    </row>
    <row r="10"/>
    <row r="11"/>
  </sheetData>
  <mergeCells count="2">
    <mergeCell ref="B2:F2"/>
    <mergeCell ref="B9:F1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4" customWidth="1" min="3" max="3"/>
    <col width="14" customWidth="1" min="4" max="4"/>
    <col width="14" customWidth="1" min="5" max="5"/>
    <col width="16" customWidth="1" min="6" max="6"/>
  </cols>
  <sheetData>
    <row r="2">
      <c r="B2" s="1" t="inlineStr">
        <is>
          <t>90 天损益与现金流</t>
        </is>
      </c>
    </row>
    <row r="4">
      <c r="B4" s="2" t="inlineStr">
        <is>
          <t>项</t>
        </is>
      </c>
      <c r="C4" s="2" t="inlineStr">
        <is>
          <t>M1(¥)</t>
        </is>
      </c>
      <c r="D4" s="2" t="inlineStr">
        <is>
          <t>M2(¥)</t>
        </is>
      </c>
      <c r="E4" s="2" t="inlineStr">
        <is>
          <t>M3(¥)</t>
        </is>
      </c>
      <c r="F4" s="2" t="inlineStr">
        <is>
          <t>90 天合计(¥)</t>
        </is>
      </c>
    </row>
    <row r="5">
      <c r="B5" s="13" t="inlineStr">
        <is>
          <t>月营收</t>
        </is>
      </c>
      <c r="C5" s="16">
        <f>'月度营收预测'!C11</f>
        <v/>
      </c>
      <c r="D5" s="16">
        <f>'月度营收预测'!D11</f>
        <v/>
      </c>
      <c r="E5" s="16">
        <f>'月度营收预测'!E11</f>
        <v/>
      </c>
      <c r="F5" s="16">
        <f>C5+D5+E5</f>
        <v/>
      </c>
    </row>
    <row r="6">
      <c r="B6" s="10" t="inlineStr">
        <is>
          <t>9 销售薪酬+提成</t>
        </is>
      </c>
      <c r="C6" s="20" t="n">
        <v>333333</v>
      </c>
      <c r="D6" s="20" t="n">
        <v>333333</v>
      </c>
      <c r="E6" s="20" t="n">
        <v>333333</v>
      </c>
      <c r="F6" s="21">
        <f>C6+D6+E6</f>
        <v/>
      </c>
    </row>
    <row r="7">
      <c r="B7" s="10" t="inlineStr">
        <is>
          <t>实施+客服+运营 5 人</t>
        </is>
      </c>
      <c r="C7" s="20" t="n">
        <v>100000</v>
      </c>
      <c r="D7" s="20" t="n">
        <v>100000</v>
      </c>
      <c r="E7" s="20" t="n">
        <v>100000</v>
      </c>
      <c r="F7" s="21">
        <f>C7+D7+E7</f>
        <v/>
      </c>
    </row>
    <row r="8">
      <c r="B8" s="10" t="inlineStr">
        <is>
          <t>培训+物料一次性</t>
        </is>
      </c>
      <c r="C8" s="20" t="n">
        <v>50000</v>
      </c>
      <c r="D8" s="20" t="n">
        <v>0</v>
      </c>
      <c r="E8" s="20" t="n">
        <v>0</v>
      </c>
      <c r="F8" s="21">
        <f>C8+D8+E8</f>
        <v/>
      </c>
    </row>
    <row r="9">
      <c r="B9" s="10" t="inlineStr">
        <is>
          <t>CRM+电销工具</t>
        </is>
      </c>
      <c r="C9" s="20" t="n">
        <v>50000</v>
      </c>
      <c r="D9" s="20" t="n">
        <v>0</v>
      </c>
      <c r="E9" s="20" t="n">
        <v>0</v>
      </c>
      <c r="F9" s="21">
        <f>C9+D9+E9</f>
        <v/>
      </c>
    </row>
    <row r="10">
      <c r="B10" s="10" t="inlineStr">
        <is>
          <t>营销+客户活动</t>
        </is>
      </c>
      <c r="C10" s="20" t="n">
        <v>50000</v>
      </c>
      <c r="D10" s="20" t="n">
        <v>50000</v>
      </c>
      <c r="E10" s="20" t="n">
        <v>50000</v>
      </c>
      <c r="F10" s="21">
        <f>C10+D10+E10</f>
        <v/>
      </c>
    </row>
    <row r="11">
      <c r="B11" s="10" t="inlineStr">
        <is>
          <t>老板局 2-3 场</t>
        </is>
      </c>
      <c r="C11" s="20" t="n">
        <v>50000</v>
      </c>
      <c r="D11" s="20" t="n">
        <v>50000</v>
      </c>
      <c r="E11" s="20" t="n">
        <v>50000</v>
      </c>
      <c r="F11" s="21">
        <f>C11+D11+E11</f>
        <v/>
      </c>
    </row>
    <row r="12">
      <c r="B12" s="10" t="inlineStr">
        <is>
          <t>应急</t>
        </is>
      </c>
      <c r="C12" s="20" t="n">
        <v>33000</v>
      </c>
      <c r="D12" s="20" t="n">
        <v>33000</v>
      </c>
      <c r="E12" s="20" t="n">
        <v>34000</v>
      </c>
      <c r="F12" s="21">
        <f>C12+D12+E12</f>
        <v/>
      </c>
    </row>
    <row r="13">
      <c r="B13" s="2" t="inlineStr">
        <is>
          <t>月度总成本</t>
        </is>
      </c>
      <c r="C13" s="17">
        <f>SUM(C6:C12)</f>
        <v/>
      </c>
      <c r="D13" s="17">
        <f>SUM(D6:D12)</f>
        <v/>
      </c>
      <c r="E13" s="17">
        <f>SUM(E6:E12)</f>
        <v/>
      </c>
      <c r="F13" s="17">
        <f>SUM(F6:F12)</f>
        <v/>
      </c>
    </row>
    <row r="14">
      <c r="B14" s="2" t="inlineStr">
        <is>
          <t>月度净现金</t>
        </is>
      </c>
      <c r="C14" s="22">
        <f>C5-C13</f>
        <v/>
      </c>
      <c r="D14" s="22">
        <f>D5-D13</f>
        <v/>
      </c>
      <c r="E14" s="22">
        <f>E5-E13</f>
        <v/>
      </c>
      <c r="F14" s="22">
        <f>F5-F13</f>
        <v/>
      </c>
    </row>
    <row r="16">
      <c r="B16" s="23" t="inlineStr">
        <is>
          <t>90 天 ROI</t>
        </is>
      </c>
      <c r="F16" s="24">
        <f>F14/F13</f>
        <v/>
      </c>
    </row>
  </sheetData>
  <mergeCells count="2">
    <mergeCell ref="B2:F2"/>
    <mergeCell ref="B16:E1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E10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6" customWidth="1" min="3" max="3"/>
    <col width="16" customWidth="1" min="4" max="4"/>
    <col width="16" customWidth="1" min="5" max="5"/>
  </cols>
  <sheetData>
    <row r="2">
      <c r="B2" s="1" t="inlineStr">
        <is>
          <t>3 档情景对比</t>
        </is>
      </c>
    </row>
    <row r="4">
      <c r="B4" s="2" t="inlineStr">
        <is>
          <t>指标</t>
        </is>
      </c>
      <c r="C4" s="2" t="inlineStr">
        <is>
          <t>保守（达成 70%）</t>
        </is>
      </c>
      <c r="D4" s="2" t="inlineStr">
        <is>
          <t>基准（100%）</t>
        </is>
      </c>
      <c r="E4" s="2" t="inlineStr">
        <is>
          <t>乐观（130%）</t>
        </is>
      </c>
    </row>
    <row r="5">
      <c r="B5" s="8" t="inlineStr">
        <is>
          <t>M3 月营收（¥万）</t>
        </is>
      </c>
      <c r="C5" s="25" t="n">
        <v>385</v>
      </c>
      <c r="D5" s="26" t="n">
        <v>550</v>
      </c>
      <c r="E5" s="27" t="n">
        <v>715</v>
      </c>
    </row>
    <row r="6">
      <c r="B6" s="8" t="inlineStr">
        <is>
          <t>90 天累计营收（¥万）</t>
        </is>
      </c>
      <c r="C6" s="25" t="n">
        <v>588</v>
      </c>
      <c r="D6" s="26" t="n">
        <v>840</v>
      </c>
      <c r="E6" s="27" t="n">
        <v>1092</v>
      </c>
    </row>
    <row r="7">
      <c r="B7" s="8" t="inlineStr">
        <is>
          <t>M3 末 AI 客户数</t>
        </is>
      </c>
      <c r="C7" s="28" t="n">
        <v>560</v>
      </c>
      <c r="D7" s="14" t="n">
        <v>800</v>
      </c>
      <c r="E7" s="13" t="n">
        <v>1040</v>
      </c>
    </row>
    <row r="8">
      <c r="B8" s="8" t="inlineStr">
        <is>
          <t>90 天总投入（¥万）</t>
        </is>
      </c>
      <c r="C8" s="25" t="n">
        <v>180</v>
      </c>
      <c r="D8" s="26" t="n">
        <v>180</v>
      </c>
      <c r="E8" s="27" t="n">
        <v>180</v>
      </c>
    </row>
    <row r="9">
      <c r="B9" s="8" t="inlineStr">
        <is>
          <t>净利润（¥万）</t>
        </is>
      </c>
      <c r="C9" s="25" t="n">
        <v>408</v>
      </c>
      <c r="D9" s="26" t="n">
        <v>660</v>
      </c>
      <c r="E9" s="27" t="n">
        <v>912</v>
      </c>
    </row>
    <row r="10">
      <c r="B10" s="8" t="inlineStr">
        <is>
          <t>ROI</t>
        </is>
      </c>
      <c r="C10" s="29" t="n">
        <v>2.3</v>
      </c>
      <c r="D10" s="24" t="n">
        <v>3.7</v>
      </c>
      <c r="E10" s="30" t="n">
        <v>5.1</v>
      </c>
    </row>
  </sheetData>
  <mergeCells count="1">
    <mergeCell ref="B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2026-06-13T17:43:10Z</dcterms:created>
  <dcterms:modified xsi:type="dcterms:W3CDTF">2026-06-13T17:43:10Z</dcterms:modified>
</cp:coreProperties>
</file>