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客户档案" sheetId="1" state="visible" r:id="rId1"/>
    <sheet name="1 价值维度" sheetId="2" state="visible" r:id="rId2"/>
    <sheet name="2 利润维度" sheetId="3" state="visible" r:id="rId3"/>
    <sheet name="3 付款维度" sheetId="4" state="visible" r:id="rId4"/>
    <sheet name="4 粘性维度" sheetId="5" state="visible" r:id="rId5"/>
    <sheet name="5 潜力维度" sheetId="6" state="visible" r:id="rId6"/>
    <sheet name="6 综合评分" sheetId="7" state="visible" r:id="rId7"/>
    <sheet name="7 五级 SOP" sheetId="8" state="visible" r:id="rId8"/>
    <sheet name="8 批量录入" sheetId="9" state="visible" r:id="rId9"/>
    <sheet name="9 维度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0"/>
    </font>
    <font>
      <name val="Microsoft YaHei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E2EFDA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00FAE5E5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8" customWidth="1" min="4" max="4"/>
    <col width="22" customWidth="1" min="5" max="5"/>
    <col width="22" customWidth="1" min="6" max="6"/>
  </cols>
  <sheetData>
    <row r="1" ht="30" customHeight="1">
      <c r="A1" s="1" t="inlineStr">
        <is>
          <t>CRM 分级评分计算器 · 客户档案</t>
        </is>
      </c>
    </row>
    <row r="2" ht="22" customHeight="1">
      <c r="A2" s="2" t="inlineStr">
        <is>
          <t>录入客户基础信息（业态会影响阈值调整）</t>
        </is>
      </c>
    </row>
    <row r="4">
      <c r="B4" s="3" t="inlineStr">
        <is>
          <t>客户公司名</t>
        </is>
      </c>
      <c r="C4" s="4" t="inlineStr">
        <is>
          <t>山东 XX 钢管科技</t>
        </is>
      </c>
    </row>
    <row r="5">
      <c r="B5" s="3" t="inlineStr">
        <is>
          <t>老板姓名</t>
        </is>
      </c>
      <c r="C5" s="4" t="inlineStr">
        <is>
          <t>王 X X</t>
        </is>
      </c>
    </row>
    <row r="6">
      <c r="B6" s="3" t="inlineStr">
        <is>
          <t>客户业态（钢贸/钢厂/加工/镀锌）</t>
        </is>
      </c>
      <c r="C6" s="4" t="inlineStr">
        <is>
          <t>钢贸</t>
        </is>
      </c>
    </row>
    <row r="7">
      <c r="B7" s="3" t="inlineStr">
        <is>
          <t>所在地区（长三角/珠三角/京津冀/华中/西南/其他）</t>
        </is>
      </c>
      <c r="C7" s="4" t="inlineStr">
        <is>
          <t>京津冀</t>
        </is>
      </c>
    </row>
    <row r="8">
      <c r="B8" s="3" t="inlineStr">
        <is>
          <t>年流水（万元）</t>
        </is>
      </c>
      <c r="C8" s="4" t="n">
        <v>18000</v>
      </c>
    </row>
    <row r="9">
      <c r="B9" s="3" t="inlineStr">
        <is>
          <t>员工数</t>
        </is>
      </c>
      <c r="C9" s="4" t="n">
        <v>50</v>
      </c>
    </row>
    <row r="10">
      <c r="B10" s="3" t="inlineStr">
        <is>
          <t>成立年份</t>
        </is>
      </c>
      <c r="C10" s="4" t="n">
        <v>2005</v>
      </c>
    </row>
    <row r="11">
      <c r="B11" s="3" t="inlineStr">
        <is>
          <t>销售归属</t>
        </is>
      </c>
      <c r="C11" s="4" t="inlineStr">
        <is>
          <t>李 X X</t>
        </is>
      </c>
    </row>
    <row r="12">
      <c r="B12" s="3" t="inlineStr">
        <is>
          <t>评分日期</t>
        </is>
      </c>
      <c r="C12" s="4" t="inlineStr">
        <is>
          <t>2026-06-15</t>
        </is>
      </c>
    </row>
    <row r="13">
      <c r="B13" s="3" t="inlineStr">
        <is>
          <t>数据完整度（%）</t>
        </is>
      </c>
      <c r="C13" s="4" t="n">
        <v>95</v>
      </c>
    </row>
    <row r="15" ht="22" customHeight="1">
      <c r="A15" s="5" t="inlineStr">
        <is>
          <t>业态阈值调整说明</t>
        </is>
      </c>
    </row>
    <row r="16">
      <c r="B16" s="6" t="inlineStr">
        <is>
          <t>钢贸（默认）</t>
        </is>
      </c>
      <c r="C16" s="7" t="inlineStr">
        <is>
          <t>基准阈值</t>
        </is>
      </c>
    </row>
    <row r="17">
      <c r="B17" s="6" t="inlineStr">
        <is>
          <t>钢厂</t>
        </is>
      </c>
      <c r="C17" s="7" t="inlineStr">
        <is>
          <t>V1 ×3 / P1 ×1.5 / L1 权重 ↑</t>
        </is>
      </c>
    </row>
    <row r="18">
      <c r="B18" s="6" t="inlineStr">
        <is>
          <t>加工</t>
        </is>
      </c>
      <c r="C18" s="7" t="inlineStr">
        <is>
          <t>V1 ×0.5 / V2 权重 ↑ / P1 ×0.7</t>
        </is>
      </c>
    </row>
    <row r="19">
      <c r="B19" s="6" t="inlineStr">
        <is>
          <t>镀锌</t>
        </is>
      </c>
      <c r="C19" s="7" t="inlineStr">
        <is>
          <t>V1 ×2 / P1 ×1.2 / 加入锌价对冲信号</t>
        </is>
      </c>
    </row>
  </sheetData>
  <mergeCells count="17">
    <mergeCell ref="C13:F13"/>
    <mergeCell ref="A2:F2"/>
    <mergeCell ref="C9:F9"/>
    <mergeCell ref="C18:F18"/>
    <mergeCell ref="C19:F19"/>
    <mergeCell ref="C17:F17"/>
    <mergeCell ref="C8:F8"/>
    <mergeCell ref="C4:F4"/>
    <mergeCell ref="A1:F1"/>
    <mergeCell ref="C12:F12"/>
    <mergeCell ref="C6:F6"/>
    <mergeCell ref="C7:F7"/>
    <mergeCell ref="C16:F16"/>
    <mergeCell ref="C11:F11"/>
    <mergeCell ref="C10:F10"/>
    <mergeCell ref="C5:F5"/>
    <mergeCell ref="A15:F15"/>
  </mergeCells>
  <dataValidations count="2">
    <dataValidation sqref="C6" showDropDown="0" showInputMessage="0" showErrorMessage="0" allowBlank="1" type="list">
      <formula1>"钢贸,钢厂,加工,镀锌,综合"</formula1>
    </dataValidation>
    <dataValidation sqref="C7" showDropDown="0" showInputMessage="0" showErrorMessage="0" allowBlank="1" type="list">
      <formula1>"长三角,珠三角,京津冀,华中,西南,其他"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 ht="30" customHeight="1">
      <c r="A1" s="1" t="inlineStr">
        <is>
          <t>价值维度（V1-V4）（权重 25% 占综合）</t>
        </is>
      </c>
    </row>
    <row r="2" ht="22" customHeight="1">
      <c r="A2" s="2" t="inlineStr">
        <is>
          <t>在【实测值】填入您的客户数据，单项分自动计算</t>
        </is>
      </c>
    </row>
    <row r="4" ht="30" customHeight="1">
      <c r="A4" s="5" t="inlineStr">
        <is>
          <t>子指标录入</t>
        </is>
      </c>
    </row>
    <row r="5">
      <c r="A5" s="2" t="inlineStr">
        <is>
          <t>#</t>
        </is>
      </c>
      <c r="B5" s="2" t="inlineStr">
        <is>
          <t>子指标名称</t>
        </is>
      </c>
      <c r="C5" s="2" t="inlineStr">
        <is>
          <t>数据来源</t>
        </is>
      </c>
      <c r="D5" s="2" t="inlineStr">
        <is>
          <t>单位</t>
        </is>
      </c>
      <c r="E5" s="2" t="inlineStr">
        <is>
          <t>实测值</t>
        </is>
      </c>
      <c r="F5" s="2" t="inlineStr">
        <is>
          <t>等级阈值表</t>
        </is>
      </c>
      <c r="G5" s="2" t="inlineStr">
        <is>
          <t>单项分</t>
        </is>
      </c>
    </row>
    <row r="6" ht="84" customHeight="1">
      <c r="A6" s="8" t="n">
        <v>1</v>
      </c>
      <c r="B6" s="6" t="inlineStr">
        <is>
          <t>V1 年采购额</t>
        </is>
      </c>
      <c r="C6" s="9" t="inlineStr">
        <is>
          <t>订单表：SUM(订单金额) 近12月</t>
        </is>
      </c>
      <c r="D6" s="8" t="inlineStr">
        <is>
          <t>万元</t>
        </is>
      </c>
      <c r="E6" s="10" t="n">
        <v>4200</v>
      </c>
      <c r="F6" s="9" t="inlineStr">
        <is>
          <t>&gt;= ¥3,000 万 → 100
¥1,000-3,000 万 → 85
¥500-1,000 万 → 70
¥100-500 万 → 50
¥30-100 万 → 30
&lt; ¥30 万 → 10</t>
        </is>
      </c>
      <c r="G6" s="11">
        <f>IF(E6&gt;=3000,100,IF(E6&gt;=3000,100,IF(AND(E6&gt;=1000,E6&lt;3000),85,IF(AND(E6&gt;=500,E6&lt;1000),70,IF(AND(E6&gt;=100,E6&lt;500),50,IF(AND(E6&gt;=30,E6&lt;100),30,10))))))</f>
        <v/>
      </c>
    </row>
    <row r="7" ht="70" customHeight="1">
      <c r="A7" s="8" t="n">
        <v>2</v>
      </c>
      <c r="B7" s="6" t="inlineStr">
        <is>
          <t>V2 月均订单数</t>
        </is>
      </c>
      <c r="C7" s="9" t="inlineStr">
        <is>
          <t>订单表：COUNT(订单)/12</t>
        </is>
      </c>
      <c r="D7" s="8" t="inlineStr">
        <is>
          <t>单/月</t>
        </is>
      </c>
      <c r="E7" s="10" t="n">
        <v>6.5</v>
      </c>
      <c r="F7" s="9" t="inlineStr">
        <is>
          <t>&gt;= 8 → 100
4-8 → 80
2-4 → 60
1-2 → 40
&lt; 1 → 20</t>
        </is>
      </c>
      <c r="G7" s="11">
        <f>IF(E7&gt;=8,100,IF(E7&gt;=8,100,IF(AND(E7&gt;=4,E7&lt;8),80,IF(AND(E7&gt;=2,E7&lt;4),60,IF(AND(E7&gt;=1,E7&lt;2),40,20)))))</f>
        <v/>
      </c>
    </row>
    <row r="8" ht="84" customHeight="1">
      <c r="A8" s="8" t="n">
        <v>3</v>
      </c>
      <c r="B8" s="6" t="inlineStr">
        <is>
          <t>V3 单笔订单均值</t>
        </is>
      </c>
      <c r="C8" s="9" t="inlineStr">
        <is>
          <t>订单：SUM/COUNT</t>
        </is>
      </c>
      <c r="D8" s="8" t="inlineStr">
        <is>
          <t>万元</t>
        </is>
      </c>
      <c r="E8" s="10" t="n">
        <v>54</v>
      </c>
      <c r="F8" s="9" t="inlineStr">
        <is>
          <t>&gt;= ¥100 万 → 100
¥50-100 万 → 85
¥20-50 万 → 70
¥5-20 万 → 50
¥1-5 万 → 30
&lt; ¥1 万 → 10</t>
        </is>
      </c>
      <c r="G8" s="11">
        <f>IF(E8&gt;=100,100,IF(E8&gt;=100,100,IF(AND(E8&gt;=50,E8&lt;100),85,IF(AND(E8&gt;=20,E8&lt;50),70,IF(AND(E8&gt;=5,E8&lt;20),50,IF(AND(E8&gt;=1,E8&lt;5),30,10))))))</f>
        <v/>
      </c>
    </row>
    <row r="9" ht="70" customHeight="1">
      <c r="A9" s="8" t="n">
        <v>4</v>
      </c>
      <c r="B9" s="6" t="inlineStr">
        <is>
          <t>V4 SKU 多样度</t>
        </is>
      </c>
      <c r="C9" s="9" t="inlineStr">
        <is>
          <t>订单明细：COUNT(DISTINCT SKU)</t>
        </is>
      </c>
      <c r="D9" s="8" t="inlineStr">
        <is>
          <t>种</t>
        </is>
      </c>
      <c r="E9" s="10" t="n">
        <v>18</v>
      </c>
      <c r="F9" s="9" t="inlineStr">
        <is>
          <t>&gt;= 30 → 100
15-30 → 80
8-15 → 60
3-8 → 40
&lt; 3 → 20</t>
        </is>
      </c>
      <c r="G9" s="11">
        <f>IF(E9&gt;=30,100,IF(E9&gt;=30,100,IF(AND(E9&gt;=15,E9&lt;30),80,IF(AND(E9&gt;=8,E9&lt;15),60,IF(AND(E9&gt;=3,E9&lt;8),40,20)))))</f>
        <v/>
      </c>
    </row>
    <row r="11" ht="30" customHeight="1">
      <c r="A11" s="5" t="inlineStr">
        <is>
          <t>权重 / 综合分计算</t>
        </is>
      </c>
    </row>
    <row r="12">
      <c r="A12" s="2" t="inlineStr">
        <is>
          <t>#</t>
        </is>
      </c>
      <c r="B12" s="2" t="inlineStr">
        <is>
          <t>子指标</t>
        </is>
      </c>
      <c r="C12" s="2" t="inlineStr">
        <is>
          <t>权重（%）</t>
        </is>
      </c>
      <c r="D12" s="2" t="inlineStr">
        <is>
          <t>单项分</t>
        </is>
      </c>
      <c r="E12" s="2" t="inlineStr">
        <is>
          <t>加权分</t>
        </is>
      </c>
      <c r="F12" s="2" t="inlineStr"/>
      <c r="G12" s="2" t="inlineStr"/>
    </row>
    <row r="13">
      <c r="A13" s="8" t="n">
        <v>1</v>
      </c>
      <c r="B13" s="8" t="inlineStr">
        <is>
          <t>V1</t>
        </is>
      </c>
      <c r="C13" s="10" t="n">
        <v>40</v>
      </c>
      <c r="D13" s="12">
        <f>G6</f>
        <v/>
      </c>
      <c r="E13" s="11">
        <f>C13*D13/100</f>
        <v/>
      </c>
    </row>
    <row r="14">
      <c r="A14" s="8" t="n">
        <v>2</v>
      </c>
      <c r="B14" s="8" t="inlineStr">
        <is>
          <t>V2</t>
        </is>
      </c>
      <c r="C14" s="10" t="n">
        <v>20</v>
      </c>
      <c r="D14" s="12">
        <f>G7</f>
        <v/>
      </c>
      <c r="E14" s="11">
        <f>C14*D14/100</f>
        <v/>
      </c>
    </row>
    <row r="15">
      <c r="A15" s="8" t="n">
        <v>3</v>
      </c>
      <c r="B15" s="8" t="inlineStr">
        <is>
          <t>V3</t>
        </is>
      </c>
      <c r="C15" s="10" t="n">
        <v>20</v>
      </c>
      <c r="D15" s="12">
        <f>G8</f>
        <v/>
      </c>
      <c r="E15" s="11">
        <f>C15*D15/100</f>
        <v/>
      </c>
    </row>
    <row r="16">
      <c r="A16" s="8" t="n">
        <v>4</v>
      </c>
      <c r="B16" s="8" t="inlineStr">
        <is>
          <t>V4</t>
        </is>
      </c>
      <c r="C16" s="10" t="n">
        <v>20</v>
      </c>
      <c r="D16" s="12">
        <f>G9</f>
        <v/>
      </c>
      <c r="E16" s="11">
        <f>C16*D16/100</f>
        <v/>
      </c>
    </row>
    <row r="17">
      <c r="A17" s="8" t="inlineStr"/>
      <c r="B17" s="13" t="inlineStr">
        <is>
          <t>维度综合分</t>
        </is>
      </c>
      <c r="C17" s="13">
        <f>SUM(C13:C16)</f>
        <v/>
      </c>
      <c r="D17" s="13" t="inlineStr">
        <is>
          <t>—</t>
        </is>
      </c>
      <c r="E17" s="13">
        <f>SUM(E13:E16)</f>
        <v/>
      </c>
      <c r="F17" s="8" t="inlineStr"/>
      <c r="G17" s="8" t="inlineStr"/>
    </row>
    <row r="19" ht="22" customHeight="1">
      <c r="A19" s="2" t="inlineStr">
        <is>
          <t>维度公式说明</t>
        </is>
      </c>
    </row>
    <row r="20" ht="22" customHeight="1">
      <c r="A20" s="14" t="inlineStr">
        <is>
          <t>维度综合分 = V1×40% + V2×20% + V3×20% + V4×20%（钢厂业态 V1 阈值 ×3 / 加工业态 ×0.5）</t>
        </is>
      </c>
    </row>
  </sheetData>
  <mergeCells count="6">
    <mergeCell ref="A1:G1"/>
    <mergeCell ref="A4:G4"/>
    <mergeCell ref="A20:G20"/>
    <mergeCell ref="A2:G2"/>
    <mergeCell ref="A19:G19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 ht="30" customHeight="1">
      <c r="A1" s="1" t="inlineStr">
        <is>
          <t>利润维度（P1-P3）（权重 25% 占综合）</t>
        </is>
      </c>
    </row>
    <row r="2" ht="22" customHeight="1">
      <c r="A2" s="2" t="inlineStr">
        <is>
          <t>在【实测值】填入您的客户数据，单项分自动计算</t>
        </is>
      </c>
    </row>
    <row r="4" ht="30" customHeight="1">
      <c r="A4" s="5" t="inlineStr">
        <is>
          <t>子指标录入</t>
        </is>
      </c>
    </row>
    <row r="5">
      <c r="A5" s="2" t="inlineStr">
        <is>
          <t>#</t>
        </is>
      </c>
      <c r="B5" s="2" t="inlineStr">
        <is>
          <t>子指标名称</t>
        </is>
      </c>
      <c r="C5" s="2" t="inlineStr">
        <is>
          <t>数据来源</t>
        </is>
      </c>
      <c r="D5" s="2" t="inlineStr">
        <is>
          <t>单位</t>
        </is>
      </c>
      <c r="E5" s="2" t="inlineStr">
        <is>
          <t>实测值</t>
        </is>
      </c>
      <c r="F5" s="2" t="inlineStr">
        <is>
          <t>等级阈值表</t>
        </is>
      </c>
      <c r="G5" s="2" t="inlineStr">
        <is>
          <t>单项分</t>
        </is>
      </c>
    </row>
    <row r="6" ht="84" customHeight="1">
      <c r="A6" s="8" t="n">
        <v>1</v>
      </c>
      <c r="B6" s="6" t="inlineStr">
        <is>
          <t>P1 综合毛利率</t>
        </is>
      </c>
      <c r="C6" s="9" t="inlineStr">
        <is>
          <t>(销售-成本-运费-加工)/销售</t>
        </is>
      </c>
      <c r="D6" s="8" t="inlineStr">
        <is>
          <t>%</t>
        </is>
      </c>
      <c r="E6" s="10" t="n">
        <v>4.5</v>
      </c>
      <c r="F6" s="9" t="inlineStr">
        <is>
          <t>&gt;= 6% → 100
4-6% → 85
2-4% → 65
1-2% → 40
0-1% → 15
&lt; 0% → 0</t>
        </is>
      </c>
      <c r="G6" s="11">
        <f>IF(E6&gt;=6,100,IF(E6&gt;=6,100,IF(AND(E6&gt;=4,E6&lt;6),85,IF(AND(E6&gt;=2,E6&lt;4),65,IF(AND(E6&gt;=1,E6&lt;2),40,IF(AND(E6&gt;=0,E6&lt;1),15,0))))))</f>
        <v/>
      </c>
    </row>
    <row r="7" ht="70" customHeight="1">
      <c r="A7" s="8" t="n">
        <v>2</v>
      </c>
      <c r="B7" s="6" t="inlineStr">
        <is>
          <t>P2 年贡献毛利占公司比</t>
        </is>
      </c>
      <c r="C7" s="9" t="inlineStr">
        <is>
          <t>客户毛利/公司总毛利</t>
        </is>
      </c>
      <c r="D7" s="8" t="inlineStr">
        <is>
          <t>%</t>
        </is>
      </c>
      <c r="E7" s="10" t="n">
        <v>1.8</v>
      </c>
      <c r="F7" s="9" t="inlineStr">
        <is>
          <t>&gt;= 5% → 100
2-5% → 80
0.5-2% → 60
0.1-0.5% → 40
&lt; 0.1% → 20</t>
        </is>
      </c>
      <c r="G7" s="11">
        <f>IF(E7&gt;=5,100,IF(E7&gt;=5,100,IF(AND(E7&gt;=2,E7&lt;5),80,IF(AND(E7&gt;=0.5,E7&lt;2),60,IF(AND(E7&gt;=0.1,E7&lt;0.5),40,20)))))</f>
        <v/>
      </c>
    </row>
    <row r="8" ht="70" customHeight="1">
      <c r="A8" s="8" t="n">
        <v>3</v>
      </c>
      <c r="B8" s="6" t="inlineStr">
        <is>
          <t>P3 利润同比变化</t>
        </is>
      </c>
      <c r="C8" s="9" t="inlineStr">
        <is>
          <t>(今年-去年)/去年</t>
        </is>
      </c>
      <c r="D8" s="8" t="inlineStr">
        <is>
          <t>%</t>
        </is>
      </c>
      <c r="E8" s="10" t="n">
        <v>18</v>
      </c>
      <c r="F8" s="9" t="inlineStr">
        <is>
          <t>&gt; +20% → 100
+5% ~ +20% → 80
-5% ~ +5% → 60
-20% ~ -5% → 40
&lt; -20% → 20</t>
        </is>
      </c>
      <c r="G8" s="11">
        <f>IF(E8&gt;20,100,IF(E8&gt;20,100,IF(AND(E8&gt;=5,E8&lt;20),80,IF(AND(E8&gt;=-5,E8&lt;5),60,IF(AND(E8&gt;=-20,E8&lt;-5),40,20)))))</f>
        <v/>
      </c>
    </row>
    <row r="10" ht="30" customHeight="1">
      <c r="A10" s="5" t="inlineStr">
        <is>
          <t>权重 / 综合分计算</t>
        </is>
      </c>
    </row>
    <row r="11">
      <c r="A11" s="2" t="inlineStr">
        <is>
          <t>#</t>
        </is>
      </c>
      <c r="B11" s="2" t="inlineStr">
        <is>
          <t>子指标</t>
        </is>
      </c>
      <c r="C11" s="2" t="inlineStr">
        <is>
          <t>权重（%）</t>
        </is>
      </c>
      <c r="D11" s="2" t="inlineStr">
        <is>
          <t>单项分</t>
        </is>
      </c>
      <c r="E11" s="2" t="inlineStr">
        <is>
          <t>加权分</t>
        </is>
      </c>
      <c r="F11" s="2" t="inlineStr"/>
      <c r="G11" s="2" t="inlineStr"/>
    </row>
    <row r="12">
      <c r="A12" s="8" t="n">
        <v>1</v>
      </c>
      <c r="B12" s="8" t="inlineStr">
        <is>
          <t>P1</t>
        </is>
      </c>
      <c r="C12" s="10" t="n">
        <v>60</v>
      </c>
      <c r="D12" s="12">
        <f>G6</f>
        <v/>
      </c>
      <c r="E12" s="11">
        <f>C12*D12/100</f>
        <v/>
      </c>
    </row>
    <row r="13">
      <c r="A13" s="8" t="n">
        <v>2</v>
      </c>
      <c r="B13" s="8" t="inlineStr">
        <is>
          <t>P2</t>
        </is>
      </c>
      <c r="C13" s="10" t="n">
        <v>28</v>
      </c>
      <c r="D13" s="12">
        <f>G7</f>
        <v/>
      </c>
      <c r="E13" s="11">
        <f>C13*D13/100</f>
        <v/>
      </c>
    </row>
    <row r="14">
      <c r="A14" s="8" t="n">
        <v>3</v>
      </c>
      <c r="B14" s="8" t="inlineStr">
        <is>
          <t>P3</t>
        </is>
      </c>
      <c r="C14" s="10" t="n">
        <v>12</v>
      </c>
      <c r="D14" s="12">
        <f>G8</f>
        <v/>
      </c>
      <c r="E14" s="11">
        <f>C14*D14/100</f>
        <v/>
      </c>
    </row>
    <row r="15">
      <c r="A15" s="8" t="inlineStr"/>
      <c r="B15" s="13" t="inlineStr">
        <is>
          <t>维度综合分</t>
        </is>
      </c>
      <c r="C15" s="13">
        <f>SUM(C12:C14)</f>
        <v/>
      </c>
      <c r="D15" s="13" t="inlineStr">
        <is>
          <t>—</t>
        </is>
      </c>
      <c r="E15" s="13">
        <f>SUM(E12:E14)</f>
        <v/>
      </c>
      <c r="F15" s="8" t="inlineStr"/>
      <c r="G15" s="8" t="inlineStr"/>
    </row>
    <row r="17" ht="22" customHeight="1">
      <c r="A17" s="2" t="inlineStr">
        <is>
          <t>维度公式说明</t>
        </is>
      </c>
    </row>
    <row r="18" ht="22" customHeight="1">
      <c r="A18" s="14" t="inlineStr">
        <is>
          <t>维度综合分 = P1×60% + P2×28% + P3×12%（钢厂 P1 阈值 ×1.5 / 加工 ×0.7）★ P1&lt;0% 触发强制不超 C 级</t>
        </is>
      </c>
    </row>
  </sheetData>
  <mergeCells count="6">
    <mergeCell ref="A1:G1"/>
    <mergeCell ref="A17:G17"/>
    <mergeCell ref="A18:G18"/>
    <mergeCell ref="A4:G4"/>
    <mergeCell ref="A2:G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 ht="30" customHeight="1">
      <c r="A1" s="1" t="inlineStr">
        <is>
          <t>付款维度（R1-R4）（权重 20% 占综合）</t>
        </is>
      </c>
    </row>
    <row r="2" ht="22" customHeight="1">
      <c r="A2" s="2" t="inlineStr">
        <is>
          <t>在【实测值】填入您的客户数据，单项分自动计算</t>
        </is>
      </c>
    </row>
    <row r="4" ht="30" customHeight="1">
      <c r="A4" s="5" t="inlineStr">
        <is>
          <t>子指标录入</t>
        </is>
      </c>
    </row>
    <row r="5">
      <c r="A5" s="2" t="inlineStr">
        <is>
          <t>#</t>
        </is>
      </c>
      <c r="B5" s="2" t="inlineStr">
        <is>
          <t>子指标名称</t>
        </is>
      </c>
      <c r="C5" s="2" t="inlineStr">
        <is>
          <t>数据来源</t>
        </is>
      </c>
      <c r="D5" s="2" t="inlineStr">
        <is>
          <t>单位</t>
        </is>
      </c>
      <c r="E5" s="2" t="inlineStr">
        <is>
          <t>实测值</t>
        </is>
      </c>
      <c r="F5" s="2" t="inlineStr">
        <is>
          <t>等级阈值表</t>
        </is>
      </c>
      <c r="G5" s="2" t="inlineStr">
        <is>
          <t>单项分</t>
        </is>
      </c>
    </row>
    <row r="6" ht="70" customHeight="1">
      <c r="A6" s="8" t="n">
        <v>1</v>
      </c>
      <c r="B6" s="6" t="inlineStr">
        <is>
          <t>R1 应收周转天数</t>
        </is>
      </c>
      <c r="C6" s="9" t="inlineStr">
        <is>
          <t>平均应收/销售额×365</t>
        </is>
      </c>
      <c r="D6" s="8" t="inlineStr">
        <is>
          <t>天</t>
        </is>
      </c>
      <c r="E6" s="10" t="n">
        <v>42</v>
      </c>
      <c r="F6" s="9" t="inlineStr">
        <is>
          <t>&lt;= 30 → 100
30-60 → 80
60-90 → 60
90-120 → 35
&gt; 120 → 10</t>
        </is>
      </c>
      <c r="G6" s="11">
        <f>IF(E6&lt;=30,100,IF(E6&lt;=30,100,IF(AND(E6&gt;=30,E6&lt;60),80,IF(AND(E6&gt;=60,E6&lt;90),60,IF(AND(E6&gt;=90,E6&lt;120),35,10)))))</f>
        <v/>
      </c>
    </row>
    <row r="7" ht="70" customHeight="1">
      <c r="A7" s="8" t="n">
        <v>2</v>
      </c>
      <c r="B7" s="6" t="inlineStr">
        <is>
          <t>R2 90 天+ 应收占比</t>
        </is>
      </c>
      <c r="C7" s="9" t="inlineStr">
        <is>
          <t>90天+/总应收</t>
        </is>
      </c>
      <c r="D7" s="8" t="inlineStr">
        <is>
          <t>%</t>
        </is>
      </c>
      <c r="E7" s="10" t="n">
        <v>8</v>
      </c>
      <c r="F7" s="9" t="inlineStr">
        <is>
          <t>0% → 100
0-10% → 85
10-25% → 60
25-50% → 30
&gt; 50% → 5</t>
        </is>
      </c>
      <c r="G7" s="11">
        <f>IF(E7&lt;=0,100,IF(E7&lt;=0,100,IF(AND(E7&gt;=0,E7&lt;10),85,IF(AND(E7&gt;=10,E7&lt;25),60,IF(AND(E7&gt;=25,E7&lt;50),30,5)))))</f>
        <v/>
      </c>
    </row>
    <row r="8" ht="70" customHeight="1">
      <c r="A8" s="8" t="n">
        <v>3</v>
      </c>
      <c r="B8" s="6" t="inlineStr">
        <is>
          <t>R3 付款准时率</t>
        </is>
      </c>
      <c r="C8" s="9" t="inlineStr">
        <is>
          <t>按时付款笔数/总笔数</t>
        </is>
      </c>
      <c r="D8" s="8" t="inlineStr">
        <is>
          <t>%</t>
        </is>
      </c>
      <c r="E8" s="10" t="n">
        <v>92</v>
      </c>
      <c r="F8" s="9" t="inlineStr">
        <is>
          <t>&gt;= 95% → 100
85-95% → 80
70-85% → 55
50-70% → 30
&lt; 50% → 10</t>
        </is>
      </c>
      <c r="G8" s="11">
        <f>IF(E8&gt;=95,100,IF(E8&gt;=95,100,IF(AND(E8&gt;=85,E8&lt;95),80,IF(AND(E8&gt;=70,E8&lt;85),55,IF(AND(E8&gt;=50,E8&lt;70),30,10)))))</f>
        <v/>
      </c>
    </row>
    <row r="9" ht="70" customHeight="1">
      <c r="A9" s="8" t="n">
        <v>4</v>
      </c>
      <c r="B9" s="6" t="inlineStr">
        <is>
          <t>R4 历史坏账次数</t>
        </is>
      </c>
      <c r="C9" s="9" t="inlineStr">
        <is>
          <t>坏账登记表</t>
        </is>
      </c>
      <c r="D9" s="8" t="inlineStr">
        <is>
          <t>次</t>
        </is>
      </c>
      <c r="E9" s="10" t="n">
        <v>0</v>
      </c>
      <c r="F9" s="9" t="inlineStr">
        <is>
          <t>0 次 → 100
1 次 &lt; ¥10 万（折合 1-1.5） → 70
1 次 ¥10-100 万（折合 1.5-2.5） → 40
1 次 &gt; ¥100 万（折合 2.5-3.5） → 15
&gt;= 2 次（强制黑名单） → 0</t>
        </is>
      </c>
      <c r="G9" s="11">
        <f>IF(E9&lt;=0,100,IF(E9&lt;=0,100,IF(AND(E9&gt;=0.5,E9&lt;1.5),70,IF(AND(E9&gt;=1.5,E9&lt;2.5),40,IF(AND(E9&gt;=2.5,E9&lt;3.5),15,0)))))</f>
        <v/>
      </c>
    </row>
    <row r="11" ht="30" customHeight="1">
      <c r="A11" s="5" t="inlineStr">
        <is>
          <t>权重 / 综合分计算</t>
        </is>
      </c>
    </row>
    <row r="12">
      <c r="A12" s="2" t="inlineStr">
        <is>
          <t>#</t>
        </is>
      </c>
      <c r="B12" s="2" t="inlineStr">
        <is>
          <t>子指标</t>
        </is>
      </c>
      <c r="C12" s="2" t="inlineStr">
        <is>
          <t>权重（%）</t>
        </is>
      </c>
      <c r="D12" s="2" t="inlineStr">
        <is>
          <t>单项分</t>
        </is>
      </c>
      <c r="E12" s="2" t="inlineStr">
        <is>
          <t>加权分</t>
        </is>
      </c>
      <c r="F12" s="2" t="inlineStr"/>
      <c r="G12" s="2" t="inlineStr"/>
    </row>
    <row r="13">
      <c r="A13" s="8" t="n">
        <v>1</v>
      </c>
      <c r="B13" s="8" t="inlineStr">
        <is>
          <t>R1</t>
        </is>
      </c>
      <c r="C13" s="10" t="n">
        <v>35</v>
      </c>
      <c r="D13" s="12">
        <f>G6</f>
        <v/>
      </c>
      <c r="E13" s="11">
        <f>C13*D13/100</f>
        <v/>
      </c>
    </row>
    <row r="14">
      <c r="A14" s="8" t="n">
        <v>2</v>
      </c>
      <c r="B14" s="8" t="inlineStr">
        <is>
          <t>R2</t>
        </is>
      </c>
      <c r="C14" s="10" t="n">
        <v>30</v>
      </c>
      <c r="D14" s="12">
        <f>G7</f>
        <v/>
      </c>
      <c r="E14" s="11">
        <f>C14*D14/100</f>
        <v/>
      </c>
    </row>
    <row r="15">
      <c r="A15" s="8" t="n">
        <v>3</v>
      </c>
      <c r="B15" s="8" t="inlineStr">
        <is>
          <t>R3</t>
        </is>
      </c>
      <c r="C15" s="10" t="n">
        <v>20</v>
      </c>
      <c r="D15" s="12">
        <f>G8</f>
        <v/>
      </c>
      <c r="E15" s="11">
        <f>C15*D15/100</f>
        <v/>
      </c>
    </row>
    <row r="16">
      <c r="A16" s="8" t="n">
        <v>4</v>
      </c>
      <c r="B16" s="8" t="inlineStr">
        <is>
          <t>R4</t>
        </is>
      </c>
      <c r="C16" s="10" t="n">
        <v>15</v>
      </c>
      <c r="D16" s="12">
        <f>G9</f>
        <v/>
      </c>
      <c r="E16" s="11">
        <f>C16*D16/100</f>
        <v/>
      </c>
    </row>
    <row r="17">
      <c r="A17" s="8" t="inlineStr"/>
      <c r="B17" s="13" t="inlineStr">
        <is>
          <t>维度综合分</t>
        </is>
      </c>
      <c r="C17" s="13">
        <f>SUM(C13:C16)</f>
        <v/>
      </c>
      <c r="D17" s="13" t="inlineStr">
        <is>
          <t>—</t>
        </is>
      </c>
      <c r="E17" s="13">
        <f>SUM(E13:E16)</f>
        <v/>
      </c>
      <c r="F17" s="8" t="inlineStr"/>
      <c r="G17" s="8" t="inlineStr"/>
    </row>
    <row r="19" ht="22" customHeight="1">
      <c r="A19" s="2" t="inlineStr">
        <is>
          <t>维度公式说明</t>
        </is>
      </c>
    </row>
    <row r="20" ht="22" customHeight="1">
      <c r="A20" s="14" t="inlineStr">
        <is>
          <t>维度综合分 = R1×35% + R2×30% + R3×20% + R4×15%（★ R4&gt;=2 次 / R3&lt;50% / R2&gt;50% 6 月+ 均触发强制 D）</t>
        </is>
      </c>
    </row>
  </sheetData>
  <mergeCells count="6">
    <mergeCell ref="A1:G1"/>
    <mergeCell ref="A4:G4"/>
    <mergeCell ref="A20:G20"/>
    <mergeCell ref="A2:G2"/>
    <mergeCell ref="A19:G19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 ht="30" customHeight="1">
      <c r="A1" s="1" t="inlineStr">
        <is>
          <t>粘性维度（L1-L3）（权重 15% 占综合）</t>
        </is>
      </c>
    </row>
    <row r="2" ht="22" customHeight="1">
      <c r="A2" s="2" t="inlineStr">
        <is>
          <t>在【实测值】填入您的客户数据，单项分自动计算</t>
        </is>
      </c>
    </row>
    <row r="4" ht="30" customHeight="1">
      <c r="A4" s="5" t="inlineStr">
        <is>
          <t>子指标录入</t>
        </is>
      </c>
    </row>
    <row r="5">
      <c r="A5" s="2" t="inlineStr">
        <is>
          <t>#</t>
        </is>
      </c>
      <c r="B5" s="2" t="inlineStr">
        <is>
          <t>子指标名称</t>
        </is>
      </c>
      <c r="C5" s="2" t="inlineStr">
        <is>
          <t>数据来源</t>
        </is>
      </c>
      <c r="D5" s="2" t="inlineStr">
        <is>
          <t>单位</t>
        </is>
      </c>
      <c r="E5" s="2" t="inlineStr">
        <is>
          <t>实测值</t>
        </is>
      </c>
      <c r="F5" s="2" t="inlineStr">
        <is>
          <t>等级阈值表</t>
        </is>
      </c>
      <c r="G5" s="2" t="inlineStr">
        <is>
          <t>单项分</t>
        </is>
      </c>
    </row>
    <row r="6" ht="70" customHeight="1">
      <c r="A6" s="8" t="n">
        <v>1</v>
      </c>
      <c r="B6" s="6" t="inlineStr">
        <is>
          <t>L1 合作年限</t>
        </is>
      </c>
      <c r="C6" s="9" t="inlineStr">
        <is>
          <t>首次合作至今</t>
        </is>
      </c>
      <c r="D6" s="8" t="inlineStr">
        <is>
          <t>年</t>
        </is>
      </c>
      <c r="E6" s="10" t="n">
        <v>7</v>
      </c>
      <c r="F6" s="9" t="inlineStr">
        <is>
          <t>&gt;= 5 → 100
3-5 → 85
1-3 → 65
0.5-1 → 40
&lt; 0.5（新客） → 20</t>
        </is>
      </c>
      <c r="G6" s="11">
        <f>IF(E6&gt;=5,100,IF(E6&gt;=5,100,IF(AND(E6&gt;=3,E6&lt;5),85,IF(AND(E6&gt;=1,E6&lt;3),65,IF(AND(E6&gt;=0.5,E6&lt;1),40,20)))))</f>
        <v/>
      </c>
    </row>
    <row r="7" ht="70" customHeight="1">
      <c r="A7" s="8" t="n">
        <v>2</v>
      </c>
      <c r="B7" s="6" t="inlineStr">
        <is>
          <t>L2 近 12 月活跃月数</t>
        </is>
      </c>
      <c r="C7" s="9" t="inlineStr">
        <is>
          <t>下单月+主动询价月</t>
        </is>
      </c>
      <c r="D7" s="8" t="inlineStr">
        <is>
          <t>月</t>
        </is>
      </c>
      <c r="E7" s="10" t="n">
        <v>12</v>
      </c>
      <c r="F7" s="9" t="inlineStr">
        <is>
          <t>&gt;= 10 → 100
7-9 → 80
4-6 → 60
1-3 → 30
0（沉睡） → 0</t>
        </is>
      </c>
      <c r="G7" s="11">
        <f>IF(E7&gt;=10,100,IF(E7&gt;=10,100,IF(AND(E7&gt;=7,E7&lt;10),80,IF(AND(E7&gt;=4,E7&lt;7),60,IF(AND(E7&gt;=1,E7&lt;4),30,0)))))</f>
        <v/>
      </c>
    </row>
    <row r="8" ht="70" customHeight="1">
      <c r="A8" s="8" t="n">
        <v>3</v>
      </c>
      <c r="B8" s="6" t="inlineStr">
        <is>
          <t>L3 对接深度评分</t>
        </is>
      </c>
      <c r="C8" s="9" t="inlineStr">
        <is>
          <t>对接人数+EDI+多部门</t>
        </is>
      </c>
      <c r="D8" s="8" t="inlineStr">
        <is>
          <t>分(0-100)</t>
        </is>
      </c>
      <c r="E8" s="10" t="n">
        <v>80</v>
      </c>
      <c r="F8" s="9" t="inlineStr">
        <is>
          <t>&gt;= 80（多部门+EDI） → 100
60-80（2+ 对接人含老板） → 80
40-60（1 对接人 含财务） → 50
20-40（1 对接人 业务） → 30
&lt; 20（绑销售） → 15</t>
        </is>
      </c>
      <c r="G8" s="11">
        <f>IF(E8&gt;=80,100,IF(E8&gt;=80,100,IF(AND(E8&gt;=60,E8&lt;80),80,IF(AND(E8&gt;=40,E8&lt;60),50,IF(AND(E8&gt;=20,E8&lt;40),30,15)))))</f>
        <v/>
      </c>
    </row>
    <row r="10" ht="30" customHeight="1">
      <c r="A10" s="5" t="inlineStr">
        <is>
          <t>权重 / 综合分计算</t>
        </is>
      </c>
    </row>
    <row r="11">
      <c r="A11" s="2" t="inlineStr">
        <is>
          <t>#</t>
        </is>
      </c>
      <c r="B11" s="2" t="inlineStr">
        <is>
          <t>子指标</t>
        </is>
      </c>
      <c r="C11" s="2" t="inlineStr">
        <is>
          <t>权重（%）</t>
        </is>
      </c>
      <c r="D11" s="2" t="inlineStr">
        <is>
          <t>单项分</t>
        </is>
      </c>
      <c r="E11" s="2" t="inlineStr">
        <is>
          <t>加权分</t>
        </is>
      </c>
      <c r="F11" s="2" t="inlineStr"/>
      <c r="G11" s="2" t="inlineStr"/>
    </row>
    <row r="12">
      <c r="A12" s="8" t="n">
        <v>1</v>
      </c>
      <c r="B12" s="8" t="inlineStr">
        <is>
          <t>L1</t>
        </is>
      </c>
      <c r="C12" s="10" t="n">
        <v>30</v>
      </c>
      <c r="D12" s="12">
        <f>G6</f>
        <v/>
      </c>
      <c r="E12" s="11">
        <f>C12*D12/100</f>
        <v/>
      </c>
    </row>
    <row r="13">
      <c r="A13" s="8" t="n">
        <v>2</v>
      </c>
      <c r="B13" s="8" t="inlineStr">
        <is>
          <t>L2</t>
        </is>
      </c>
      <c r="C13" s="10" t="n">
        <v>40</v>
      </c>
      <c r="D13" s="12">
        <f>G7</f>
        <v/>
      </c>
      <c r="E13" s="11">
        <f>C13*D13/100</f>
        <v/>
      </c>
    </row>
    <row r="14">
      <c r="A14" s="8" t="n">
        <v>3</v>
      </c>
      <c r="B14" s="8" t="inlineStr">
        <is>
          <t>L3</t>
        </is>
      </c>
      <c r="C14" s="10" t="n">
        <v>30</v>
      </c>
      <c r="D14" s="12">
        <f>G8</f>
        <v/>
      </c>
      <c r="E14" s="11">
        <f>C14*D14/100</f>
        <v/>
      </c>
    </row>
    <row r="15">
      <c r="A15" s="8" t="inlineStr"/>
      <c r="B15" s="13" t="inlineStr">
        <is>
          <t>维度综合分</t>
        </is>
      </c>
      <c r="C15" s="13">
        <f>SUM(C12:C14)</f>
        <v/>
      </c>
      <c r="D15" s="13" t="inlineStr">
        <is>
          <t>—</t>
        </is>
      </c>
      <c r="E15" s="13">
        <f>SUM(E12:E14)</f>
        <v/>
      </c>
      <c r="F15" s="8" t="inlineStr"/>
      <c r="G15" s="8" t="inlineStr"/>
    </row>
    <row r="17" ht="22" customHeight="1">
      <c r="A17" s="2" t="inlineStr">
        <is>
          <t>维度公式说明</t>
        </is>
      </c>
    </row>
    <row r="18" ht="22" customHeight="1">
      <c r="A18" s="14" t="inlineStr">
        <is>
          <t>维度综合分 = L1×30% + L2×40% + L3×30%</t>
        </is>
      </c>
    </row>
  </sheetData>
  <mergeCells count="6">
    <mergeCell ref="A1:G1"/>
    <mergeCell ref="A17:G17"/>
    <mergeCell ref="A18:G18"/>
    <mergeCell ref="A4:G4"/>
    <mergeCell ref="A2:G2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 ht="30" customHeight="1">
      <c r="A1" s="1" t="inlineStr">
        <is>
          <t>潜力维度（G1-G4）（权重 15% 占综合）</t>
        </is>
      </c>
    </row>
    <row r="2" ht="22" customHeight="1">
      <c r="A2" s="2" t="inlineStr">
        <is>
          <t>在【实测值】填入您的客户数据，单项分自动计算</t>
        </is>
      </c>
    </row>
    <row r="4" ht="30" customHeight="1">
      <c r="A4" s="5" t="inlineStr">
        <is>
          <t>子指标录入</t>
        </is>
      </c>
    </row>
    <row r="5">
      <c r="A5" s="2" t="inlineStr">
        <is>
          <t>#</t>
        </is>
      </c>
      <c r="B5" s="2" t="inlineStr">
        <is>
          <t>子指标名称</t>
        </is>
      </c>
      <c r="C5" s="2" t="inlineStr">
        <is>
          <t>数据来源</t>
        </is>
      </c>
      <c r="D5" s="2" t="inlineStr">
        <is>
          <t>单位</t>
        </is>
      </c>
      <c r="E5" s="2" t="inlineStr">
        <is>
          <t>实测值</t>
        </is>
      </c>
      <c r="F5" s="2" t="inlineStr">
        <is>
          <t>等级阈值表</t>
        </is>
      </c>
      <c r="G5" s="2" t="inlineStr">
        <is>
          <t>单项分</t>
        </is>
      </c>
    </row>
    <row r="6" ht="70" customHeight="1">
      <c r="A6" s="8" t="n">
        <v>1</v>
      </c>
      <c r="B6" s="6" t="inlineStr">
        <is>
          <t>G1 客户行业景气</t>
        </is>
      </c>
      <c r="C6" s="9" t="inlineStr">
        <is>
          <t>行业研究 + 公开数据</t>
        </is>
      </c>
      <c r="D6" s="8" t="inlineStr">
        <is>
          <t>分</t>
        </is>
      </c>
      <c r="E6" s="10" t="n">
        <v>85</v>
      </c>
      <c r="F6" s="9" t="inlineStr">
        <is>
          <t>&gt;= 85（出口/新能源/汽车） → 100
65-85（家电/集装箱/五金） → 80
50-65（基建/机械） → 60
30-50（钢结构/工业建筑） → 40
&lt; 30（房地产/普通建筑） → 20</t>
        </is>
      </c>
      <c r="G6" s="11">
        <f>IF(E6&gt;=85,100,IF(E6&gt;=85,100,IF(AND(E6&gt;=65,E6&lt;85),80,IF(AND(E6&gt;=50,E6&lt;65),60,IF(AND(E6&gt;=30,E6&lt;50),40,20)))))</f>
        <v/>
      </c>
    </row>
    <row r="7" ht="70" customHeight="1">
      <c r="A7" s="8" t="n">
        <v>2</v>
      </c>
      <c r="B7" s="6" t="inlineStr">
        <is>
          <t>G2 客户自身增长</t>
        </is>
      </c>
      <c r="C7" s="9" t="inlineStr">
        <is>
          <t>客户营收同比</t>
        </is>
      </c>
      <c r="D7" s="8" t="inlineStr">
        <is>
          <t>%</t>
        </is>
      </c>
      <c r="E7" s="10" t="n">
        <v>22</v>
      </c>
      <c r="F7" s="9" t="inlineStr">
        <is>
          <t>&gt; +30% → 100
+10% ~ +30% → 80
-10% ~ +10% → 60
-30% ~ -10% → 35
&lt; -30% → 10</t>
        </is>
      </c>
      <c r="G7" s="11">
        <f>IF(E7&gt;30,100,IF(E7&gt;30,100,IF(AND(E7&gt;=10,E7&lt;30),80,IF(AND(E7&gt;=-10,E7&lt;10),60,IF(AND(E7&gt;=-30,E7&lt;-10),35,10)))))</f>
        <v/>
      </c>
    </row>
    <row r="8" ht="70" customHeight="1">
      <c r="A8" s="8" t="n">
        <v>3</v>
      </c>
      <c r="B8" s="6" t="inlineStr">
        <is>
          <t>G3 业态拓展空间</t>
        </is>
      </c>
      <c r="C8" s="9" t="inlineStr">
        <is>
          <t>客户已买/我能卖 比例</t>
        </is>
      </c>
      <c r="D8" s="8" t="inlineStr">
        <is>
          <t>%</t>
        </is>
      </c>
      <c r="E8" s="10" t="n">
        <v>40</v>
      </c>
      <c r="F8" s="9" t="inlineStr">
        <is>
          <t>&lt; 30%（巨大空间） → 100
30-60% → 70
60-80% → 50
80-95% → 30
&gt;= 95%（饱和） → 10</t>
        </is>
      </c>
      <c r="G8" s="11">
        <f>IF(E8&lt;30,100,IF(E8&lt;30,100,IF(AND(E8&gt;=30,E8&lt;60),70,IF(AND(E8&gt;=60,E8&lt;80),50,IF(AND(E8&gt;=80,E8&lt;95),30,10)))))</f>
        <v/>
      </c>
    </row>
    <row r="9" ht="70" customHeight="1">
      <c r="A9" s="8" t="n">
        <v>4</v>
      </c>
      <c r="B9" s="6" t="inlineStr">
        <is>
          <t>G4 区域 / 政策红利</t>
        </is>
      </c>
      <c r="C9" s="9" t="inlineStr">
        <is>
          <t>政策研究</t>
        </is>
      </c>
      <c r="D9" s="8" t="inlineStr">
        <is>
          <t>分</t>
        </is>
      </c>
      <c r="E9" s="10" t="n">
        <v>90</v>
      </c>
      <c r="F9" s="9" t="inlineStr">
        <is>
          <t>&gt;= 80（长三角/珠三角） → 100
60-80（京津冀雄安） → 70
40-60（华中出口转型） → 55
20-40（西南基建） → 40
&lt; 20 → 25</t>
        </is>
      </c>
      <c r="G9" s="11">
        <f>IF(E9&gt;=80,100,IF(E9&gt;=80,100,IF(AND(E9&gt;=60,E9&lt;80),70,IF(AND(E9&gt;=40,E9&lt;60),55,IF(AND(E9&gt;=20,E9&lt;40),40,25)))))</f>
        <v/>
      </c>
    </row>
    <row r="11" ht="30" customHeight="1">
      <c r="A11" s="5" t="inlineStr">
        <is>
          <t>权重 / 综合分计算</t>
        </is>
      </c>
    </row>
    <row r="12">
      <c r="A12" s="2" t="inlineStr">
        <is>
          <t>#</t>
        </is>
      </c>
      <c r="B12" s="2" t="inlineStr">
        <is>
          <t>子指标</t>
        </is>
      </c>
      <c r="C12" s="2" t="inlineStr">
        <is>
          <t>权重（%）</t>
        </is>
      </c>
      <c r="D12" s="2" t="inlineStr">
        <is>
          <t>单项分</t>
        </is>
      </c>
      <c r="E12" s="2" t="inlineStr">
        <is>
          <t>加权分</t>
        </is>
      </c>
      <c r="F12" s="2" t="inlineStr"/>
      <c r="G12" s="2" t="inlineStr"/>
    </row>
    <row r="13">
      <c r="A13" s="8" t="n">
        <v>1</v>
      </c>
      <c r="B13" s="8" t="inlineStr">
        <is>
          <t>G1</t>
        </is>
      </c>
      <c r="C13" s="10" t="n">
        <v>30</v>
      </c>
      <c r="D13" s="12">
        <f>G6</f>
        <v/>
      </c>
      <c r="E13" s="11">
        <f>C13*D13/100</f>
        <v/>
      </c>
    </row>
    <row r="14">
      <c r="A14" s="8" t="n">
        <v>2</v>
      </c>
      <c r="B14" s="8" t="inlineStr">
        <is>
          <t>G2</t>
        </is>
      </c>
      <c r="C14" s="10" t="n">
        <v>27</v>
      </c>
      <c r="D14" s="12">
        <f>G7</f>
        <v/>
      </c>
      <c r="E14" s="11">
        <f>C14*D14/100</f>
        <v/>
      </c>
    </row>
    <row r="15">
      <c r="A15" s="8" t="n">
        <v>3</v>
      </c>
      <c r="B15" s="8" t="inlineStr">
        <is>
          <t>G3</t>
        </is>
      </c>
      <c r="C15" s="10" t="n">
        <v>27</v>
      </c>
      <c r="D15" s="12">
        <f>G8</f>
        <v/>
      </c>
      <c r="E15" s="11">
        <f>C15*D15/100</f>
        <v/>
      </c>
    </row>
    <row r="16">
      <c r="A16" s="8" t="n">
        <v>4</v>
      </c>
      <c r="B16" s="8" t="inlineStr">
        <is>
          <t>G4</t>
        </is>
      </c>
      <c r="C16" s="10" t="n">
        <v>16</v>
      </c>
      <c r="D16" s="12">
        <f>G9</f>
        <v/>
      </c>
      <c r="E16" s="11">
        <f>C16*D16/100</f>
        <v/>
      </c>
    </row>
    <row r="17">
      <c r="A17" s="8" t="inlineStr"/>
      <c r="B17" s="13" t="inlineStr">
        <is>
          <t>维度综合分</t>
        </is>
      </c>
      <c r="C17" s="13">
        <f>SUM(C13:C16)</f>
        <v/>
      </c>
      <c r="D17" s="13" t="inlineStr">
        <is>
          <t>—</t>
        </is>
      </c>
      <c r="E17" s="13">
        <f>SUM(E13:E16)</f>
        <v/>
      </c>
      <c r="F17" s="8" t="inlineStr"/>
      <c r="G17" s="8" t="inlineStr"/>
    </row>
    <row r="19" ht="22" customHeight="1">
      <c r="A19" s="2" t="inlineStr">
        <is>
          <t>维度公式说明</t>
        </is>
      </c>
    </row>
    <row r="20" ht="22" customHeight="1">
      <c r="A20" s="14" t="inlineStr">
        <is>
          <t>维度综合分 = G1×30% + G2×27% + G3×27% + G4×16%</t>
        </is>
      </c>
    </row>
  </sheetData>
  <mergeCells count="6">
    <mergeCell ref="A1:G1"/>
    <mergeCell ref="A4:G4"/>
    <mergeCell ref="A20:G20"/>
    <mergeCell ref="A2:G2"/>
    <mergeCell ref="A19:G19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8" customWidth="1" min="6" max="6"/>
    <col width="22" customWidth="1" min="7" max="7"/>
  </cols>
  <sheetData>
    <row r="1" ht="30" customHeight="1">
      <c r="A1" s="1" t="inlineStr">
        <is>
          <t>综合评分 + 等级判定 + 强制规则</t>
        </is>
      </c>
    </row>
    <row r="2" ht="22" customHeight="1">
      <c r="A2" s="2" t="inlineStr">
        <is>
          <t>自动汇总 5 维度 + 加权计算 + 强制规则触发</t>
        </is>
      </c>
    </row>
    <row r="4" ht="30" customHeight="1">
      <c r="A4" s="5" t="inlineStr">
        <is>
          <t>5 维度综合分</t>
        </is>
      </c>
    </row>
    <row r="5">
      <c r="A5" s="2" t="inlineStr">
        <is>
          <t>#</t>
        </is>
      </c>
      <c r="B5" s="2" t="inlineStr">
        <is>
          <t>维度</t>
        </is>
      </c>
      <c r="C5" s="2" t="inlineStr">
        <is>
          <t>权重(%)</t>
        </is>
      </c>
      <c r="D5" s="2" t="inlineStr">
        <is>
          <t>维度分</t>
        </is>
      </c>
      <c r="E5" s="2" t="inlineStr">
        <is>
          <t>加权分</t>
        </is>
      </c>
      <c r="F5" s="2" t="inlineStr">
        <is>
          <t>等级判定（独立）</t>
        </is>
      </c>
      <c r="G5" s="2" t="inlineStr">
        <is>
          <t>备注</t>
        </is>
      </c>
    </row>
    <row r="6">
      <c r="A6" s="8" t="inlineStr">
        <is>
          <t>①</t>
        </is>
      </c>
      <c r="B6" s="6" t="inlineStr">
        <is>
          <t>价值维度</t>
        </is>
      </c>
      <c r="C6" s="8" t="n">
        <v>25</v>
      </c>
      <c r="D6" s="15">
        <f>'1 价值维度'!E17</f>
        <v/>
      </c>
      <c r="E6" s="11">
        <f>C6*D6/100</f>
        <v/>
      </c>
      <c r="F6" s="8">
        <f>IF(D6&gt;=85,"S",IF(D6&gt;=70,"A",IF(D6&gt;=55,"B",IF(D6&gt;=40,"C","D"))))</f>
        <v/>
      </c>
      <c r="G6" s="9" t="inlineStr">
        <is>
          <t>—</t>
        </is>
      </c>
    </row>
    <row r="7">
      <c r="A7" s="8" t="inlineStr">
        <is>
          <t>②</t>
        </is>
      </c>
      <c r="B7" s="6" t="inlineStr">
        <is>
          <t>利润维度</t>
        </is>
      </c>
      <c r="C7" s="8" t="n">
        <v>25</v>
      </c>
      <c r="D7" s="15">
        <f>'2 利润维度'!E15</f>
        <v/>
      </c>
      <c r="E7" s="11">
        <f>C7*D7/100</f>
        <v/>
      </c>
      <c r="F7" s="8">
        <f>IF(D7&gt;=85,"S",IF(D7&gt;=70,"A",IF(D7&gt;=55,"B",IF(D7&gt;=40,"C","D"))))</f>
        <v/>
      </c>
      <c r="G7" s="9" t="inlineStr">
        <is>
          <t>P1&lt;0% 强制不超 C</t>
        </is>
      </c>
    </row>
    <row r="8">
      <c r="A8" s="8" t="inlineStr">
        <is>
          <t>③</t>
        </is>
      </c>
      <c r="B8" s="6" t="inlineStr">
        <is>
          <t>付款维度</t>
        </is>
      </c>
      <c r="C8" s="8" t="n">
        <v>20</v>
      </c>
      <c r="D8" s="15">
        <f>'3 付款维度'!E17</f>
        <v/>
      </c>
      <c r="E8" s="11">
        <f>C8*D8/100</f>
        <v/>
      </c>
      <c r="F8" s="8">
        <f>IF(D8&gt;=85,"S",IF(D8&gt;=70,"A",IF(D8&gt;=55,"B",IF(D8&gt;=40,"C","D"))))</f>
        <v/>
      </c>
      <c r="G8" s="9" t="inlineStr">
        <is>
          <t>R4&gt;=2 强制 D / R3&lt;50% 强制 D</t>
        </is>
      </c>
    </row>
    <row r="9">
      <c r="A9" s="8" t="inlineStr">
        <is>
          <t>④</t>
        </is>
      </c>
      <c r="B9" s="6" t="inlineStr">
        <is>
          <t>粘性维度</t>
        </is>
      </c>
      <c r="C9" s="8" t="n">
        <v>15</v>
      </c>
      <c r="D9" s="15">
        <f>'4 粘性维度'!E15</f>
        <v/>
      </c>
      <c r="E9" s="11">
        <f>C9*D9/100</f>
        <v/>
      </c>
      <c r="F9" s="8">
        <f>IF(D9&gt;=85,"S",IF(D9&gt;=70,"A",IF(D9&gt;=55,"B",IF(D9&gt;=40,"C","D"))))</f>
        <v/>
      </c>
      <c r="G9" s="9" t="inlineStr">
        <is>
          <t>—</t>
        </is>
      </c>
    </row>
    <row r="10">
      <c r="A10" s="8" t="inlineStr">
        <is>
          <t>⑤</t>
        </is>
      </c>
      <c r="B10" s="6" t="inlineStr">
        <is>
          <t>潜力维度</t>
        </is>
      </c>
      <c r="C10" s="8" t="n">
        <v>15</v>
      </c>
      <c r="D10" s="15">
        <f>'5 潜力维度'!E17</f>
        <v/>
      </c>
      <c r="E10" s="11">
        <f>C10*D10/100</f>
        <v/>
      </c>
      <c r="F10" s="8">
        <f>IF(D10&gt;=85,"S",IF(D10&gt;=70,"A",IF(D10&gt;=55,"B",IF(D10&gt;=40,"C","D"))))</f>
        <v/>
      </c>
      <c r="G10" s="9" t="inlineStr">
        <is>
          <t>—</t>
        </is>
      </c>
    </row>
    <row r="12">
      <c r="A12" s="1" t="inlineStr">
        <is>
          <t>综合分（基础）= 5 维度加权和</t>
        </is>
      </c>
      <c r="E12" s="1">
        <f>ROUND(SUM(E6:E10),1)</f>
        <v/>
      </c>
      <c r="F12" s="16">
        <f>IF(E12&gt;=85,"S 钻石",IF(E12&gt;=70,"A 黄金",IF(E12&gt;=55,"B 白银",IF(E12&gt;=40,"C 青铜","D 警示"))))</f>
        <v/>
      </c>
      <c r="G12" s="8" t="inlineStr">
        <is>
          <t>基础等级</t>
        </is>
      </c>
    </row>
    <row r="14" ht="30" customHeight="1">
      <c r="A14" s="17" t="inlineStr">
        <is>
          <t>强制规则（自动检测）</t>
        </is>
      </c>
    </row>
    <row r="15">
      <c r="A15" s="2" t="inlineStr">
        <is>
          <t>#</t>
        </is>
      </c>
      <c r="B15" s="2" t="inlineStr">
        <is>
          <t>规则</t>
        </is>
      </c>
      <c r="C15" s="2" t="inlineStr">
        <is>
          <t>触发条件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是否触发</t>
        </is>
      </c>
      <c r="G15" s="2" t="inlineStr">
        <is>
          <t>效果</t>
        </is>
      </c>
    </row>
    <row r="16">
      <c r="A16" s="8" t="inlineStr">
        <is>
          <t>①</t>
        </is>
      </c>
      <c r="B16" s="6" t="inlineStr">
        <is>
          <t>R4 &gt;= 2 次坏账</t>
        </is>
      </c>
      <c r="C16" s="9" t="inlineStr">
        <is>
          <t>付款 R4 实测 &gt;= 4</t>
        </is>
      </c>
      <c r="F16" s="18">
        <f>IF(='3 付款维度'!E9&gt;=4,"🔴 触发","✅ 未触发")</f>
        <v/>
      </c>
      <c r="G16" s="7" t="inlineStr">
        <is>
          <t>强制 D + 黑名单</t>
        </is>
      </c>
    </row>
    <row r="17">
      <c r="A17" s="8" t="inlineStr">
        <is>
          <t>②</t>
        </is>
      </c>
      <c r="B17" s="6" t="inlineStr">
        <is>
          <t>R3 准时率 &lt; 50%</t>
        </is>
      </c>
      <c r="C17" s="9" t="inlineStr">
        <is>
          <t>付款 R3 实测 &lt; 50</t>
        </is>
      </c>
      <c r="F17" s="18">
        <f>IF(='3 付款维度'!E8&lt;50,"🔴 触发","✅ 未触发")</f>
        <v/>
      </c>
      <c r="G17" s="7" t="inlineStr">
        <is>
          <t>强制 D</t>
        </is>
      </c>
    </row>
    <row r="18">
      <c r="A18" s="8" t="inlineStr">
        <is>
          <t>③</t>
        </is>
      </c>
      <c r="B18" s="6" t="inlineStr">
        <is>
          <t>R2 90 天+ &gt; 50%</t>
        </is>
      </c>
      <c r="C18" s="9" t="inlineStr">
        <is>
          <t>付款 R2 实测 &gt; 50</t>
        </is>
      </c>
      <c r="F18" s="18">
        <f>IF(='3 付款维度'!E7&gt;50,"🔴 触发","✅ 未触发")</f>
        <v/>
      </c>
      <c r="G18" s="7" t="inlineStr">
        <is>
          <t>强制 D + 冻结订单</t>
        </is>
      </c>
    </row>
    <row r="19">
      <c r="A19" s="8" t="inlineStr">
        <is>
          <t>④</t>
        </is>
      </c>
      <c r="B19" s="6" t="inlineStr">
        <is>
          <t>P1 毛利率 &lt; 0%</t>
        </is>
      </c>
      <c r="C19" s="9" t="inlineStr">
        <is>
          <t>利润 P1 实测 &lt; 0</t>
        </is>
      </c>
      <c r="F19" s="18">
        <f>IF(='2 利润维度'!E6&lt;0,"🔴 触发","✅ 未触发")</f>
        <v/>
      </c>
      <c r="G19" s="7" t="inlineStr">
        <is>
          <t>强制不超 C 级</t>
        </is>
      </c>
    </row>
    <row r="21" ht="30" customHeight="1">
      <c r="A21" s="19" t="inlineStr">
        <is>
          <t>最终等级（基础 + 强制规则覆盖）</t>
        </is>
      </c>
    </row>
    <row r="22" ht="26" customHeight="1">
      <c r="A22" s="19" t="inlineStr">
        <is>
          <t>客户最终等级</t>
        </is>
      </c>
      <c r="E22" s="19">
        <f>IF(='3 付款维度'!E9&gt;=4,"D 钻石 → 强制 D + 黑名单",IF(='3 付款维度'!E8&lt;50,"D → 强制 D",IF(='3 付款维度'!E7&gt;50,"D → 强制 D + 冻结订单",IF(AND(='2 利润维度'!E6&lt;0,OR(F12="S 钻石",F12="A 黄金",F12="B 白银")),"C 青铜 → P1&lt;0 不超 C",F12))))</f>
        <v/>
      </c>
      <c r="F22" s="20" t="n"/>
      <c r="G22" s="21" t="n"/>
    </row>
    <row r="24" ht="30" customHeight="1">
      <c r="A24" s="5" t="inlineStr">
        <is>
          <t>特殊标签（独立于等级）</t>
        </is>
      </c>
    </row>
    <row r="25">
      <c r="B25" s="6" t="inlineStr">
        <is>
          <t>🔴 风险预警</t>
        </is>
      </c>
      <c r="C25" s="22">
        <f>IF(OR('3 付款维度'!E6&gt;90,'3 付款维度'!E7&gt;30),"是","否")</f>
        <v/>
      </c>
    </row>
    <row r="26">
      <c r="B26" s="6" t="inlineStr">
        <is>
          <t>🟡 沉睡客户</t>
        </is>
      </c>
      <c r="C26" s="22">
        <f>IF('4 粘性维度'!E7&lt;=0,"是","否")</f>
        <v/>
      </c>
    </row>
    <row r="27">
      <c r="B27" s="6" t="inlineStr">
        <is>
          <t>🟢 战略客户</t>
        </is>
      </c>
      <c r="C27" s="22" t="inlineStr">
        <is>
          <t>（老板手动标记）</t>
        </is>
      </c>
    </row>
    <row r="28">
      <c r="B28" s="6" t="inlineStr">
        <is>
          <t>⚫ 黑名单</t>
        </is>
      </c>
      <c r="C28" s="22">
        <f>IF('3 付款维度'!E9&gt;=4,"是","否")</f>
        <v/>
      </c>
    </row>
  </sheetData>
  <mergeCells count="17">
    <mergeCell ref="C16:E16"/>
    <mergeCell ref="A14:G14"/>
    <mergeCell ref="A1:G1"/>
    <mergeCell ref="E22:G22"/>
    <mergeCell ref="C19:E19"/>
    <mergeCell ref="A22:D22"/>
    <mergeCell ref="A12:D12"/>
    <mergeCell ref="A21:G21"/>
    <mergeCell ref="A4:G4"/>
    <mergeCell ref="C18:E18"/>
    <mergeCell ref="C25:G25"/>
    <mergeCell ref="A24:G24"/>
    <mergeCell ref="A2:G2"/>
    <mergeCell ref="C17:E17"/>
    <mergeCell ref="C27:G27"/>
    <mergeCell ref="C28:G28"/>
    <mergeCell ref="C26:G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 ht="30" customHeight="1">
      <c r="A1" s="1" t="inlineStr">
        <is>
          <t>客户等级 → 销售 SOP（自动匹配）</t>
        </is>
      </c>
    </row>
    <row r="2" ht="22" customHeight="1">
      <c r="A2" s="2" t="inlineStr">
        <is>
          <t>当前客户等级：从'6 综合评分'读取（'6 综合评分'!E22）</t>
        </is>
      </c>
    </row>
    <row r="4" ht="28" customHeight="1">
      <c r="B4" s="1" t="inlineStr">
        <is>
          <t>当前客户等级：</t>
        </is>
      </c>
      <c r="D4" s="19">
        <f>'6 综合评分'!E22</f>
        <v/>
      </c>
    </row>
    <row r="6" ht="30" customHeight="1">
      <c r="A6" s="5" t="inlineStr">
        <is>
          <t>5 级 SOP 总表（销售必读）</t>
        </is>
      </c>
    </row>
    <row r="7">
      <c r="A7" s="2" t="inlineStr">
        <is>
          <t>等级</t>
        </is>
      </c>
      <c r="B7" s="2" t="inlineStr">
        <is>
          <t>主跟人</t>
        </is>
      </c>
      <c r="C7" s="2" t="inlineStr">
        <is>
          <t>维护频率</t>
        </is>
      </c>
      <c r="D7" s="2" t="inlineStr">
        <is>
          <t>资源配额(年/客户)</t>
        </is>
      </c>
      <c r="E7" s="2" t="inlineStr">
        <is>
          <t>总数控制</t>
        </is>
      </c>
      <c r="F7" s="2" t="inlineStr">
        <is>
          <t>续单率KPI</t>
        </is>
      </c>
    </row>
    <row r="8">
      <c r="A8" s="23" t="inlineStr">
        <is>
          <t>S 钻石 ≥85</t>
        </is>
      </c>
      <c r="B8" s="23" t="inlineStr">
        <is>
          <t>销售老板/总监</t>
        </is>
      </c>
      <c r="C8" s="23" t="inlineStr">
        <is>
          <t>月度上门+周电话+日微信</t>
        </is>
      </c>
      <c r="D8" s="23" t="inlineStr">
        <is>
          <t>¥5-10 万</t>
        </is>
      </c>
      <c r="E8" s="23" t="inlineStr">
        <is>
          <t>≤ 5%（75 个）</t>
        </is>
      </c>
      <c r="F8" s="23" t="inlineStr">
        <is>
          <t>≥ 95%</t>
        </is>
      </c>
    </row>
    <row r="9">
      <c r="A9" s="24" t="inlineStr">
        <is>
          <t>A 黄金 70-84</t>
        </is>
      </c>
      <c r="B9" s="24" t="inlineStr">
        <is>
          <t>销售总监/资深</t>
        </is>
      </c>
      <c r="C9" s="24" t="inlineStr">
        <is>
          <t>双周上门+周电话</t>
        </is>
      </c>
      <c r="D9" s="24" t="inlineStr">
        <is>
          <t>¥1-3 万</t>
        </is>
      </c>
      <c r="E9" s="24" t="inlineStr">
        <is>
          <t>15-20%（250 个）</t>
        </is>
      </c>
      <c r="F9" s="24" t="inlineStr">
        <is>
          <t>≥ 90%</t>
        </is>
      </c>
    </row>
    <row r="10">
      <c r="A10" s="25" t="inlineStr">
        <is>
          <t>B 白银 55-69</t>
        </is>
      </c>
      <c r="B10" s="25" t="inlineStr">
        <is>
          <t>销售员</t>
        </is>
      </c>
      <c r="C10" s="25" t="inlineStr">
        <is>
          <t>月度电话+季上门</t>
        </is>
      </c>
      <c r="D10" s="25" t="inlineStr">
        <is>
          <t>¥3,000-1 万</t>
        </is>
      </c>
      <c r="E10" s="25" t="inlineStr">
        <is>
          <t>40-50%（700 个）</t>
        </is>
      </c>
      <c r="F10" s="25" t="inlineStr">
        <is>
          <t>≥ 75%</t>
        </is>
      </c>
    </row>
    <row r="11">
      <c r="A11" s="22" t="inlineStr">
        <is>
          <t>C 青铜 40-54</t>
        </is>
      </c>
      <c r="B11" s="22" t="inlineStr">
        <is>
          <t>自动化为主</t>
        </is>
      </c>
      <c r="C11" s="22" t="inlineStr">
        <is>
          <t>季度 SMS+半年电话</t>
        </is>
      </c>
      <c r="D11" s="22" t="inlineStr">
        <is>
          <t>≤ ¥1,000</t>
        </is>
      </c>
      <c r="E11" s="22" t="inlineStr">
        <is>
          <t>25-30%（400 个）</t>
        </is>
      </c>
      <c r="F11" s="22" t="inlineStr">
        <is>
          <t>升 B≥15%/年</t>
        </is>
      </c>
    </row>
    <row r="12">
      <c r="A12" s="26" t="inlineStr">
        <is>
          <t>D 警示 &lt;40</t>
        </is>
      </c>
      <c r="B12" s="26" t="inlineStr">
        <is>
          <t>法务/风控/应收</t>
        </is>
      </c>
      <c r="C12" s="26" t="inlineStr">
        <is>
          <t>催收/黑名单评估</t>
        </is>
      </c>
      <c r="D12" s="26" t="inlineStr">
        <is>
          <t>—</t>
        </is>
      </c>
      <c r="E12" s="26" t="inlineStr">
        <is>
          <t>≤ 10%（150 个）</t>
        </is>
      </c>
      <c r="F12" s="26" t="inlineStr">
        <is>
          <t>坏账≤1%</t>
        </is>
      </c>
    </row>
    <row r="14" ht="30" customHeight="1">
      <c r="A14" s="19" t="inlineStr">
        <is>
          <t>★ 当前客户的详细 SOP（自动匹配）</t>
        </is>
      </c>
    </row>
    <row r="15" ht="30" customHeight="1">
      <c r="A15" s="27">
        <f>IF(ISNUMBER(SEARCH("S",D4)),"S 钻石：① 老板亲自月度电话
② 销售总监双周上门
③ 月度对账+应收清账+下月预订单
④ 季度邀请进老板局
⑤ 半年二代俱乐部
⑥ 年度战略对话+送年货",IF(ISNUMBER(SEARCH("A",D4)),"A 黄金：① 销售总监双周上门
② 月度对账+应收
③ 季度业务回顾
④ 老板局年度 1-2 次
⑤ 升 S 提名（连续 2 季 ≥85 分）",IF(ISNUMBER(SEARCH("B",D4)),"B 白银：① 销售员月度电话
② 季度上门 1 次
③ 半年健康度自评邀请
④ 升级路径明确化
⑤ 跨季评估升 A",IF(ISNUMBER(SEARCH("C",D4)),"C 青铜：① 自动化群发月度行情
② 季度群发新品/优惠
③ 半年电话调研
④ 升 B / 降 D 评估
⑤ 自动化覆盖 ≥ 90%","D 警示：① 法务催收（30/60/90 天三级）
② 持续不付款=法律诉讼
③ 进黑名单
④ 客户主动表态触发反向挽回 SOP
⑤ 6 月观察期重新评估"))))</f>
        <v/>
      </c>
    </row>
    <row r="16" ht="26" customHeight="1"/>
    <row r="17" ht="26" customHeight="1"/>
    <row r="18" ht="26" customHeight="1"/>
    <row r="19" ht="26" customHeight="1"/>
    <row r="20" ht="26" customHeight="1"/>
    <row r="21" ht="26" customHeight="1"/>
    <row r="23" ht="30" customHeight="1">
      <c r="A23" s="5" t="inlineStr">
        <is>
          <t>提成挂钩规则</t>
        </is>
      </c>
    </row>
    <row r="24">
      <c r="A24" s="2" t="inlineStr">
        <is>
          <t>等级</t>
        </is>
      </c>
      <c r="B24" s="2" t="inlineStr">
        <is>
          <t>提成系数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</row>
    <row r="25">
      <c r="A25" s="8" t="inlineStr">
        <is>
          <t>S</t>
        </is>
      </c>
      <c r="B25" s="8" t="inlineStr">
        <is>
          <t>×1.5</t>
        </is>
      </c>
      <c r="C25" s="8" t="inlineStr"/>
      <c r="D25" s="8" t="inlineStr"/>
      <c r="E25" s="8" t="inlineStr"/>
      <c r="F25" s="8" t="inlineStr"/>
    </row>
    <row r="26">
      <c r="A26" s="8" t="inlineStr">
        <is>
          <t>A</t>
        </is>
      </c>
      <c r="B26" s="8" t="inlineStr">
        <is>
          <t>×1.2</t>
        </is>
      </c>
      <c r="C26" s="8" t="inlineStr"/>
      <c r="D26" s="8" t="inlineStr"/>
      <c r="E26" s="8" t="inlineStr"/>
      <c r="F26" s="8" t="inlineStr"/>
    </row>
    <row r="27">
      <c r="A27" s="8" t="inlineStr">
        <is>
          <t>B</t>
        </is>
      </c>
      <c r="B27" s="8" t="inlineStr">
        <is>
          <t>×1.0</t>
        </is>
      </c>
      <c r="C27" s="8" t="inlineStr"/>
      <c r="D27" s="8" t="inlineStr"/>
      <c r="E27" s="8" t="inlineStr"/>
      <c r="F27" s="8" t="inlineStr"/>
    </row>
    <row r="28">
      <c r="A28" s="8" t="inlineStr">
        <is>
          <t>C</t>
        </is>
      </c>
      <c r="B28" s="8" t="inlineStr">
        <is>
          <t>×0.6</t>
        </is>
      </c>
      <c r="C28" s="8" t="inlineStr"/>
      <c r="D28" s="8" t="inlineStr"/>
      <c r="E28" s="8" t="inlineStr"/>
      <c r="F28" s="8" t="inlineStr"/>
    </row>
    <row r="29">
      <c r="A29" s="8" t="inlineStr">
        <is>
          <t>D</t>
        </is>
      </c>
      <c r="B29" s="8" t="inlineStr">
        <is>
          <t>×0 + 倒罚</t>
        </is>
      </c>
      <c r="C29" s="8" t="inlineStr"/>
      <c r="D29" s="8" t="inlineStr"/>
      <c r="E29" s="8" t="inlineStr"/>
      <c r="F29" s="8" t="inlineStr"/>
    </row>
  </sheetData>
  <mergeCells count="8">
    <mergeCell ref="A2:F2"/>
    <mergeCell ref="A14:F14"/>
    <mergeCell ref="A1:F1"/>
    <mergeCell ref="D4:F4"/>
    <mergeCell ref="A15:F21"/>
    <mergeCell ref="A23:F23"/>
    <mergeCell ref="A6:F6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8" customWidth="1" min="4" max="4"/>
    <col width="8" customWidth="1" min="5" max="5"/>
    <col width="9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</cols>
  <sheetData>
    <row r="1" ht="30" customHeight="1">
      <c r="A1" s="1" t="inlineStr">
        <is>
          <t>50 客户批量录入与评级（每行 1 个客户）</t>
        </is>
      </c>
    </row>
    <row r="2" ht="22" customHeight="1">
      <c r="A2" s="2" t="inlineStr">
        <is>
          <t>黄色列录入实测值 / 绿色列自动计算 / 末列自动等级</t>
        </is>
      </c>
    </row>
    <row r="4">
      <c r="A4" s="1" t="inlineStr">
        <is>
          <t>#</t>
        </is>
      </c>
      <c r="B4" s="1" t="inlineStr">
        <is>
          <t>客户名</t>
        </is>
      </c>
      <c r="C4" s="1" t="inlineStr">
        <is>
          <t>业态</t>
        </is>
      </c>
      <c r="D4" s="1" t="inlineStr">
        <is>
          <t>V1</t>
        </is>
      </c>
      <c r="E4" s="1" t="inlineStr">
        <is>
          <t>V2</t>
        </is>
      </c>
      <c r="F4" s="1" t="inlineStr">
        <is>
          <t>V3</t>
        </is>
      </c>
      <c r="G4" s="1" t="inlineStr">
        <is>
          <t>V4</t>
        </is>
      </c>
      <c r="H4" s="1" t="inlineStr">
        <is>
          <t>P1</t>
        </is>
      </c>
      <c r="I4" s="1" t="inlineStr">
        <is>
          <t>P2</t>
        </is>
      </c>
      <c r="J4" s="1" t="inlineStr">
        <is>
          <t>P3</t>
        </is>
      </c>
      <c r="K4" s="1" t="inlineStr">
        <is>
          <t>R1</t>
        </is>
      </c>
      <c r="L4" s="1" t="inlineStr">
        <is>
          <t>R2</t>
        </is>
      </c>
      <c r="M4" s="1" t="inlineStr">
        <is>
          <t>R3</t>
        </is>
      </c>
      <c r="N4" s="1" t="inlineStr">
        <is>
          <t>R4</t>
        </is>
      </c>
      <c r="O4" s="1" t="inlineStr">
        <is>
          <t>L1</t>
        </is>
      </c>
      <c r="P4" s="1" t="inlineStr">
        <is>
          <t>L2</t>
        </is>
      </c>
      <c r="Q4" s="1" t="inlineStr">
        <is>
          <t>L3</t>
        </is>
      </c>
      <c r="R4" s="1" t="inlineStr">
        <is>
          <t>G1</t>
        </is>
      </c>
      <c r="S4" s="1" t="inlineStr">
        <is>
          <t>G2</t>
        </is>
      </c>
      <c r="T4" s="1" t="inlineStr">
        <is>
          <t>G3</t>
        </is>
      </c>
      <c r="U4" s="1" t="inlineStr">
        <is>
          <t>G4</t>
        </is>
      </c>
      <c r="V4" s="1" t="inlineStr">
        <is>
          <t>价值分</t>
        </is>
      </c>
      <c r="W4" s="1" t="inlineStr">
        <is>
          <t>利润分</t>
        </is>
      </c>
      <c r="X4" s="1" t="inlineStr">
        <is>
          <t>付款分</t>
        </is>
      </c>
      <c r="Y4" s="1" t="inlineStr">
        <is>
          <t>粘性分</t>
        </is>
      </c>
      <c r="Z4" s="1" t="inlineStr">
        <is>
          <t>潜力分</t>
        </is>
      </c>
      <c r="AA4" s="1" t="inlineStr">
        <is>
          <t>综合分</t>
        </is>
      </c>
      <c r="AB4" s="1" t="inlineStr">
        <is>
          <t>等级</t>
        </is>
      </c>
    </row>
    <row r="5">
      <c r="A5" s="8" t="n">
        <v>1</v>
      </c>
      <c r="B5" s="7" t="inlineStr">
        <is>
          <t>山东 XX 钢管</t>
        </is>
      </c>
      <c r="C5" s="8" t="inlineStr">
        <is>
          <t>钢贸</t>
        </is>
      </c>
      <c r="D5" s="22" t="n">
        <v>4200</v>
      </c>
      <c r="E5" s="22" t="n">
        <v>6.5</v>
      </c>
      <c r="F5" s="22" t="n">
        <v>54</v>
      </c>
      <c r="G5" s="22" t="n">
        <v>18</v>
      </c>
      <c r="H5" s="22" t="n">
        <v>4.5</v>
      </c>
      <c r="I5" s="22" t="n">
        <v>1.8</v>
      </c>
      <c r="J5" s="22" t="n">
        <v>18</v>
      </c>
      <c r="K5" s="22" t="n">
        <v>42</v>
      </c>
      <c r="L5" s="22" t="n">
        <v>8</v>
      </c>
      <c r="M5" s="22" t="n">
        <v>92</v>
      </c>
      <c r="N5" s="22" t="n">
        <v>0</v>
      </c>
      <c r="O5" s="22" t="n">
        <v>7</v>
      </c>
      <c r="P5" s="22" t="n">
        <v>12</v>
      </c>
      <c r="Q5" s="22" t="n">
        <v>80</v>
      </c>
      <c r="R5" s="22" t="n">
        <v>85</v>
      </c>
      <c r="S5" s="22" t="n">
        <v>22</v>
      </c>
      <c r="T5" s="22" t="n">
        <v>40</v>
      </c>
      <c r="U5" s="22" t="n">
        <v>90</v>
      </c>
      <c r="V5" s="11">
        <f>ROUND((IF(D5&gt;=3000,100,IF(D5&gt;=1000,85,IF(D5&gt;=500,70,IF(D5&gt;=100,50,IF(D5&gt;=30,30,10))))))*0.4+(IF(E5&gt;=8,100,IF(E5&gt;=4,80,IF(E5&gt;=2,60,IF(E5&gt;=1,40,20)))))*0.2+(IF(F5&gt;=100,100,IF(F5&gt;=50,85,IF(F5&gt;=20,70,IF(F5&gt;=5,50,IF(F5&gt;=1,30,10))))))*0.2+(IF(G5&gt;=30,100,IF(G5&gt;=15,80,IF(G5&gt;=8,60,IF(G5&gt;=3,40,20)))))*0.2,1)</f>
        <v/>
      </c>
      <c r="W5" s="11">
        <f>ROUND((IF(H5&gt;=6,100,IF(H5&gt;=4,85,IF(H5&gt;=2,65,IF(H5&gt;=1,40,IF(H5&gt;=0,15,0))))))*0.6+(IF(I5&gt;=5,100,IF(I5&gt;=2,80,IF(I5&gt;=0.5,60,IF(I5&gt;=0.1,40,20)))))*0.28+(IF(J5&gt;20,100,IF(J5&gt;=5,80,IF(J5&gt;=-5,60,IF(J5&gt;=-20,40,20)))))*0.12,1)</f>
        <v/>
      </c>
      <c r="X5" s="11">
        <f>ROUND((IF(K5&lt;=30,100,IF(K5&lt;=60,80,IF(K5&lt;=90,60,IF(K5&lt;=120,35,10)))))*0.35+(IF(L5&lt;=0,100,IF(L5&lt;=10,85,IF(L5&lt;=25,60,IF(L5&lt;=50,30,5)))))*0.3+(IF(M5&gt;=95,100,IF(M5&gt;=85,80,IF(M5&gt;=70,55,IF(M5&gt;=50,30,10)))))*0.2+(IF(N5&lt;=0,100,IF(N5&lt;=1,70,IF(N5&lt;=2,40,IF(N5&lt;=3,15,0)))))*0.15,1)</f>
        <v/>
      </c>
      <c r="Y5" s="11">
        <f>ROUND((IF(O5&gt;=5,100,IF(O5&gt;=3,85,IF(O5&gt;=1,65,IF(O5&gt;=0.5,40,20)))))*0.3+(IF(P5&gt;=10,100,IF(P5&gt;=7,80,IF(P5&gt;=4,60,IF(P5&gt;=1,30,0)))))*0.4+(IF(Q5&gt;=80,100,IF(Q5&gt;=60,80,IF(Q5&gt;=40,50,IF(Q5&gt;=20,30,15)))))*0.3,1)</f>
        <v/>
      </c>
      <c r="Z5" s="11">
        <f>ROUND((IF(R5&gt;=85,100,IF(R5&gt;=65,80,IF(R5&gt;=50,60,IF(R5&gt;=30,40,20)))))*0.3+(IF(S5&gt;30,100,IF(S5&gt;=10,80,IF(S5&gt;=-10,60,IF(S5&gt;=-30,35,10)))))*0.27+(IF(T5&lt;30,100,IF(T5&lt;60,70,IF(T5&lt;80,50,IF(T5&lt;95,30,10)))))*0.27+(IF(U5&gt;=80,100,IF(U5&gt;=60,70,IF(U5&gt;=40,55,IF(U5&gt;=20,40,25)))))*0.16,1)</f>
        <v/>
      </c>
      <c r="AA5" s="13">
        <f>ROUND(V5*0.25+W5*0.25+X5*0.2+Y5*0.15+Z5*0.15,1)</f>
        <v/>
      </c>
      <c r="AB5" s="19">
        <f>IF(N5&gt;=2,"D 黑名单",IF(M5&lt;50,"D 强制",IF(L5&gt;50,"D 冻结",IF(H5&lt;0,IF(AA5&gt;=55,"C P1&lt;0",IF(AA5&gt;=40,"C",IF(AA5&gt;=30,"C","D"))),IF(AA5&gt;=85,"S 钻石",IF(AA5&gt;=70,"A 黄金",IF(AA5&gt;=55,"B 白银",IF(AA5&gt;=40,"C 青铜","D 警示"))))))))</f>
        <v/>
      </c>
    </row>
    <row r="6">
      <c r="A6" s="8" t="n">
        <v>2</v>
      </c>
      <c r="B6" s="7" t="inlineStr">
        <is>
          <t>江苏 XX 焊管</t>
        </is>
      </c>
      <c r="C6" s="8" t="inlineStr">
        <is>
          <t>钢贸</t>
        </is>
      </c>
      <c r="D6" s="22" t="n">
        <v>1200</v>
      </c>
      <c r="E6" s="22" t="n">
        <v>4</v>
      </c>
      <c r="F6" s="22" t="n">
        <v>30</v>
      </c>
      <c r="G6" s="22" t="n">
        <v>12</v>
      </c>
      <c r="H6" s="22" t="n">
        <v>3.8</v>
      </c>
      <c r="I6" s="22" t="n">
        <v>0.6</v>
      </c>
      <c r="J6" s="22" t="n">
        <v>8</v>
      </c>
      <c r="K6" s="22" t="n">
        <v>55</v>
      </c>
      <c r="L6" s="22" t="n">
        <v>18</v>
      </c>
      <c r="M6" s="22" t="n">
        <v>78</v>
      </c>
      <c r="N6" s="22" t="n">
        <v>0</v>
      </c>
      <c r="O6" s="22" t="n">
        <v>5</v>
      </c>
      <c r="P6" s="22" t="n">
        <v>10</v>
      </c>
      <c r="Q6" s="22" t="n">
        <v>60</v>
      </c>
      <c r="R6" s="22" t="n">
        <v>75</v>
      </c>
      <c r="S6" s="22" t="n">
        <v>18</v>
      </c>
      <c r="T6" s="22" t="n">
        <v>50</v>
      </c>
      <c r="U6" s="22" t="n">
        <v>80</v>
      </c>
      <c r="V6" s="11">
        <f>ROUND((IF(D6&gt;=3000,100,IF(D6&gt;=1000,85,IF(D6&gt;=500,70,IF(D6&gt;=100,50,IF(D6&gt;=30,30,10))))))*0.4+(IF(E6&gt;=8,100,IF(E6&gt;=4,80,IF(E6&gt;=2,60,IF(E6&gt;=1,40,20)))))*0.2+(IF(F6&gt;=100,100,IF(F6&gt;=50,85,IF(F6&gt;=20,70,IF(F6&gt;=5,50,IF(F6&gt;=1,30,10))))))*0.2+(IF(G6&gt;=30,100,IF(G6&gt;=15,80,IF(G6&gt;=8,60,IF(G6&gt;=3,40,20)))))*0.2,1)</f>
        <v/>
      </c>
      <c r="W6" s="11">
        <f>ROUND((IF(H6&gt;=6,100,IF(H6&gt;=4,85,IF(H6&gt;=2,65,IF(H6&gt;=1,40,IF(H6&gt;=0,15,0))))))*0.6+(IF(I6&gt;=5,100,IF(I6&gt;=2,80,IF(I6&gt;=0.5,60,IF(I6&gt;=0.1,40,20)))))*0.28+(IF(J6&gt;20,100,IF(J6&gt;=5,80,IF(J6&gt;=-5,60,IF(J6&gt;=-20,40,20)))))*0.12,1)</f>
        <v/>
      </c>
      <c r="X6" s="11">
        <f>ROUND((IF(K6&lt;=30,100,IF(K6&lt;=60,80,IF(K6&lt;=90,60,IF(K6&lt;=120,35,10)))))*0.35+(IF(L6&lt;=0,100,IF(L6&lt;=10,85,IF(L6&lt;=25,60,IF(L6&lt;=50,30,5)))))*0.3+(IF(M6&gt;=95,100,IF(M6&gt;=85,80,IF(M6&gt;=70,55,IF(M6&gt;=50,30,10)))))*0.2+(IF(N6&lt;=0,100,IF(N6&lt;=1,70,IF(N6&lt;=2,40,IF(N6&lt;=3,15,0)))))*0.15,1)</f>
        <v/>
      </c>
      <c r="Y6" s="11">
        <f>ROUND((IF(O6&gt;=5,100,IF(O6&gt;=3,85,IF(O6&gt;=1,65,IF(O6&gt;=0.5,40,20)))))*0.3+(IF(P6&gt;=10,100,IF(P6&gt;=7,80,IF(P6&gt;=4,60,IF(P6&gt;=1,30,0)))))*0.4+(IF(Q6&gt;=80,100,IF(Q6&gt;=60,80,IF(Q6&gt;=40,50,IF(Q6&gt;=20,30,15)))))*0.3,1)</f>
        <v/>
      </c>
      <c r="Z6" s="11">
        <f>ROUND((IF(R6&gt;=85,100,IF(R6&gt;=65,80,IF(R6&gt;=50,60,IF(R6&gt;=30,40,20)))))*0.3+(IF(S6&gt;30,100,IF(S6&gt;=10,80,IF(S6&gt;=-10,60,IF(S6&gt;=-30,35,10)))))*0.27+(IF(T6&lt;30,100,IF(T6&lt;60,70,IF(T6&lt;80,50,IF(T6&lt;95,30,10)))))*0.27+(IF(U6&gt;=80,100,IF(U6&gt;=60,70,IF(U6&gt;=40,55,IF(U6&gt;=20,40,25)))))*0.16,1)</f>
        <v/>
      </c>
      <c r="AA6" s="13">
        <f>ROUND(V6*0.25+W6*0.25+X6*0.2+Y6*0.15+Z6*0.15,1)</f>
        <v/>
      </c>
      <c r="AB6" s="19">
        <f>IF(N6&gt;=2,"D 黑名单",IF(M6&lt;50,"D 强制",IF(L6&gt;50,"D 冻结",IF(H6&lt;0,IF(AA6&gt;=55,"C P1&lt;0",IF(AA6&gt;=40,"C",IF(AA6&gt;=30,"C","D"))),IF(AA6&gt;=85,"S 钻石",IF(AA6&gt;=70,"A 黄金",IF(AA6&gt;=55,"B 白银",IF(AA6&gt;=40,"C 青铜","D 警示"))))))))</f>
        <v/>
      </c>
    </row>
    <row r="7">
      <c r="A7" s="8" t="n">
        <v>3</v>
      </c>
      <c r="B7" s="7" t="inlineStr">
        <is>
          <t>浙江 XX 冷卷</t>
        </is>
      </c>
      <c r="C7" s="8" t="inlineStr">
        <is>
          <t>镀锌</t>
        </is>
      </c>
      <c r="D7" s="22" t="n">
        <v>6000</v>
      </c>
      <c r="E7" s="22" t="n">
        <v>8</v>
      </c>
      <c r="F7" s="22" t="n">
        <v>75</v>
      </c>
      <c r="G7" s="22" t="n">
        <v>20</v>
      </c>
      <c r="H7" s="22" t="n">
        <v>4.2</v>
      </c>
      <c r="I7" s="22" t="n">
        <v>2</v>
      </c>
      <c r="J7" s="22" t="n">
        <v>20</v>
      </c>
      <c r="K7" s="22" t="n">
        <v>38</v>
      </c>
      <c r="L7" s="22" t="n">
        <v>5</v>
      </c>
      <c r="M7" s="22" t="n">
        <v>95</v>
      </c>
      <c r="N7" s="22" t="n">
        <v>0</v>
      </c>
      <c r="O7" s="22" t="n">
        <v>8</v>
      </c>
      <c r="P7" s="22" t="n">
        <v>12</v>
      </c>
      <c r="Q7" s="22" t="n">
        <v>90</v>
      </c>
      <c r="R7" s="22" t="n">
        <v>92</v>
      </c>
      <c r="S7" s="22" t="n">
        <v>25</v>
      </c>
      <c r="T7" s="22" t="n">
        <v>35</v>
      </c>
      <c r="U7" s="22" t="n">
        <v>85</v>
      </c>
      <c r="V7" s="11">
        <f>ROUND((IF(D7&gt;=3000,100,IF(D7&gt;=1000,85,IF(D7&gt;=500,70,IF(D7&gt;=100,50,IF(D7&gt;=30,30,10))))))*0.4+(IF(E7&gt;=8,100,IF(E7&gt;=4,80,IF(E7&gt;=2,60,IF(E7&gt;=1,40,20)))))*0.2+(IF(F7&gt;=100,100,IF(F7&gt;=50,85,IF(F7&gt;=20,70,IF(F7&gt;=5,50,IF(F7&gt;=1,30,10))))))*0.2+(IF(G7&gt;=30,100,IF(G7&gt;=15,80,IF(G7&gt;=8,60,IF(G7&gt;=3,40,20)))))*0.2,1)</f>
        <v/>
      </c>
      <c r="W7" s="11">
        <f>ROUND((IF(H7&gt;=6,100,IF(H7&gt;=4,85,IF(H7&gt;=2,65,IF(H7&gt;=1,40,IF(H7&gt;=0,15,0))))))*0.6+(IF(I7&gt;=5,100,IF(I7&gt;=2,80,IF(I7&gt;=0.5,60,IF(I7&gt;=0.1,40,20)))))*0.28+(IF(J7&gt;20,100,IF(J7&gt;=5,80,IF(J7&gt;=-5,60,IF(J7&gt;=-20,40,20)))))*0.12,1)</f>
        <v/>
      </c>
      <c r="X7" s="11">
        <f>ROUND((IF(K7&lt;=30,100,IF(K7&lt;=60,80,IF(K7&lt;=90,60,IF(K7&lt;=120,35,10)))))*0.35+(IF(L7&lt;=0,100,IF(L7&lt;=10,85,IF(L7&lt;=25,60,IF(L7&lt;=50,30,5)))))*0.3+(IF(M7&gt;=95,100,IF(M7&gt;=85,80,IF(M7&gt;=70,55,IF(M7&gt;=50,30,10)))))*0.2+(IF(N7&lt;=0,100,IF(N7&lt;=1,70,IF(N7&lt;=2,40,IF(N7&lt;=3,15,0)))))*0.15,1)</f>
        <v/>
      </c>
      <c r="Y7" s="11">
        <f>ROUND((IF(O7&gt;=5,100,IF(O7&gt;=3,85,IF(O7&gt;=1,65,IF(O7&gt;=0.5,40,20)))))*0.3+(IF(P7&gt;=10,100,IF(P7&gt;=7,80,IF(P7&gt;=4,60,IF(P7&gt;=1,30,0)))))*0.4+(IF(Q7&gt;=80,100,IF(Q7&gt;=60,80,IF(Q7&gt;=40,50,IF(Q7&gt;=20,30,15)))))*0.3,1)</f>
        <v/>
      </c>
      <c r="Z7" s="11">
        <f>ROUND((IF(R7&gt;=85,100,IF(R7&gt;=65,80,IF(R7&gt;=50,60,IF(R7&gt;=30,40,20)))))*0.3+(IF(S7&gt;30,100,IF(S7&gt;=10,80,IF(S7&gt;=-10,60,IF(S7&gt;=-30,35,10)))))*0.27+(IF(T7&lt;30,100,IF(T7&lt;60,70,IF(T7&lt;80,50,IF(T7&lt;95,30,10)))))*0.27+(IF(U7&gt;=80,100,IF(U7&gt;=60,70,IF(U7&gt;=40,55,IF(U7&gt;=20,40,25)))))*0.16,1)</f>
        <v/>
      </c>
      <c r="AA7" s="13">
        <f>ROUND(V7*0.25+W7*0.25+X7*0.2+Y7*0.15+Z7*0.15,1)</f>
        <v/>
      </c>
      <c r="AB7" s="19">
        <f>IF(N7&gt;=2,"D 黑名单",IF(M7&lt;50,"D 强制",IF(L7&gt;50,"D 冻结",IF(H7&lt;0,IF(AA7&gt;=55,"C P1&lt;0",IF(AA7&gt;=40,"C",IF(AA7&gt;=30,"C","D"))),IF(AA7&gt;=85,"S 钻石",IF(AA7&gt;=70,"A 黄金",IF(AA7&gt;=55,"B 白银",IF(AA7&gt;=40,"C 青铜","D 警示"))))))))</f>
        <v/>
      </c>
    </row>
    <row r="8">
      <c r="A8" s="8" t="n">
        <v>4</v>
      </c>
      <c r="B8" s="7" t="inlineStr">
        <is>
          <t>广东 XX 钢贸</t>
        </is>
      </c>
      <c r="C8" s="8" t="inlineStr">
        <is>
          <t>钢贸</t>
        </is>
      </c>
      <c r="D8" s="22" t="n">
        <v>3000</v>
      </c>
      <c r="E8" s="22" t="n">
        <v>7</v>
      </c>
      <c r="F8" s="22" t="n">
        <v>43</v>
      </c>
      <c r="G8" s="22" t="n">
        <v>15</v>
      </c>
      <c r="H8" s="22" t="n">
        <v>3.2</v>
      </c>
      <c r="I8" s="22" t="n">
        <v>1.5</v>
      </c>
      <c r="J8" s="22" t="n">
        <v>10</v>
      </c>
      <c r="K8" s="22" t="n">
        <v>48</v>
      </c>
      <c r="L8" s="22" t="n">
        <v>12</v>
      </c>
      <c r="M8" s="22" t="n">
        <v>85</v>
      </c>
      <c r="N8" s="22" t="n">
        <v>0</v>
      </c>
      <c r="O8" s="22" t="n">
        <v>6</v>
      </c>
      <c r="P8" s="22" t="n">
        <v>11</v>
      </c>
      <c r="Q8" s="22" t="n">
        <v>70</v>
      </c>
      <c r="R8" s="22" t="n">
        <v>70</v>
      </c>
      <c r="S8" s="22" t="n">
        <v>20</v>
      </c>
      <c r="T8" s="22" t="n">
        <v>45</v>
      </c>
      <c r="U8" s="22" t="n">
        <v>75</v>
      </c>
      <c r="V8" s="11">
        <f>ROUND((IF(D8&gt;=3000,100,IF(D8&gt;=1000,85,IF(D8&gt;=500,70,IF(D8&gt;=100,50,IF(D8&gt;=30,30,10))))))*0.4+(IF(E8&gt;=8,100,IF(E8&gt;=4,80,IF(E8&gt;=2,60,IF(E8&gt;=1,40,20)))))*0.2+(IF(F8&gt;=100,100,IF(F8&gt;=50,85,IF(F8&gt;=20,70,IF(F8&gt;=5,50,IF(F8&gt;=1,30,10))))))*0.2+(IF(G8&gt;=30,100,IF(G8&gt;=15,80,IF(G8&gt;=8,60,IF(G8&gt;=3,40,20)))))*0.2,1)</f>
        <v/>
      </c>
      <c r="W8" s="11">
        <f>ROUND((IF(H8&gt;=6,100,IF(H8&gt;=4,85,IF(H8&gt;=2,65,IF(H8&gt;=1,40,IF(H8&gt;=0,15,0))))))*0.6+(IF(I8&gt;=5,100,IF(I8&gt;=2,80,IF(I8&gt;=0.5,60,IF(I8&gt;=0.1,40,20)))))*0.28+(IF(J8&gt;20,100,IF(J8&gt;=5,80,IF(J8&gt;=-5,60,IF(J8&gt;=-20,40,20)))))*0.12,1)</f>
        <v/>
      </c>
      <c r="X8" s="11">
        <f>ROUND((IF(K8&lt;=30,100,IF(K8&lt;=60,80,IF(K8&lt;=90,60,IF(K8&lt;=120,35,10)))))*0.35+(IF(L8&lt;=0,100,IF(L8&lt;=10,85,IF(L8&lt;=25,60,IF(L8&lt;=50,30,5)))))*0.3+(IF(M8&gt;=95,100,IF(M8&gt;=85,80,IF(M8&gt;=70,55,IF(M8&gt;=50,30,10)))))*0.2+(IF(N8&lt;=0,100,IF(N8&lt;=1,70,IF(N8&lt;=2,40,IF(N8&lt;=3,15,0)))))*0.15,1)</f>
        <v/>
      </c>
      <c r="Y8" s="11">
        <f>ROUND((IF(O8&gt;=5,100,IF(O8&gt;=3,85,IF(O8&gt;=1,65,IF(O8&gt;=0.5,40,20)))))*0.3+(IF(P8&gt;=10,100,IF(P8&gt;=7,80,IF(P8&gt;=4,60,IF(P8&gt;=1,30,0)))))*0.4+(IF(Q8&gt;=80,100,IF(Q8&gt;=60,80,IF(Q8&gt;=40,50,IF(Q8&gt;=20,30,15)))))*0.3,1)</f>
        <v/>
      </c>
      <c r="Z8" s="11">
        <f>ROUND((IF(R8&gt;=85,100,IF(R8&gt;=65,80,IF(R8&gt;=50,60,IF(R8&gt;=30,40,20)))))*0.3+(IF(S8&gt;30,100,IF(S8&gt;=10,80,IF(S8&gt;=-10,60,IF(S8&gt;=-30,35,10)))))*0.27+(IF(T8&lt;30,100,IF(T8&lt;60,70,IF(T8&lt;80,50,IF(T8&lt;95,30,10)))))*0.27+(IF(U8&gt;=80,100,IF(U8&gt;=60,70,IF(U8&gt;=40,55,IF(U8&gt;=20,40,25)))))*0.16,1)</f>
        <v/>
      </c>
      <c r="AA8" s="13">
        <f>ROUND(V8*0.25+W8*0.25+X8*0.2+Y8*0.15+Z8*0.15,1)</f>
        <v/>
      </c>
      <c r="AB8" s="19">
        <f>IF(N8&gt;=2,"D 黑名单",IF(M8&lt;50,"D 强制",IF(L8&gt;50,"D 冻结",IF(H8&lt;0,IF(AA8&gt;=55,"C P1&lt;0",IF(AA8&gt;=40,"C",IF(AA8&gt;=30,"C","D"))),IF(AA8&gt;=85,"S 钻石",IF(AA8&gt;=70,"A 黄金",IF(AA8&gt;=55,"B 白银",IF(AA8&gt;=40,"C 青铜","D 警示"))))))))</f>
        <v/>
      </c>
    </row>
    <row r="9">
      <c r="A9" s="8" t="n">
        <v>5</v>
      </c>
      <c r="B9" s="7" t="inlineStr">
        <is>
          <t>邯郸 XX 钢管</t>
        </is>
      </c>
      <c r="C9" s="8" t="inlineStr">
        <is>
          <t>钢贸</t>
        </is>
      </c>
      <c r="D9" s="22" t="n">
        <v>3000</v>
      </c>
      <c r="E9" s="22" t="n">
        <v>5.5</v>
      </c>
      <c r="F9" s="22" t="n">
        <v>55</v>
      </c>
      <c r="G9" s="22" t="n">
        <v>18</v>
      </c>
      <c r="H9" s="22" t="n">
        <v>4</v>
      </c>
      <c r="I9" s="22" t="n">
        <v>1.2</v>
      </c>
      <c r="J9" s="22" t="n">
        <v>-5</v>
      </c>
      <c r="K9" s="22" t="n">
        <v>65</v>
      </c>
      <c r="L9" s="22" t="n">
        <v>25</v>
      </c>
      <c r="M9" s="22" t="n">
        <v>75</v>
      </c>
      <c r="N9" s="22" t="n">
        <v>1</v>
      </c>
      <c r="O9" s="22" t="n">
        <v>6</v>
      </c>
      <c r="P9" s="22" t="n">
        <v>12</v>
      </c>
      <c r="Q9" s="22" t="n">
        <v>75</v>
      </c>
      <c r="R9" s="22" t="n">
        <v>60</v>
      </c>
      <c r="S9" s="22" t="n">
        <v>-10</v>
      </c>
      <c r="T9" s="22" t="n">
        <v>30</v>
      </c>
      <c r="U9" s="22" t="n">
        <v>60</v>
      </c>
      <c r="V9" s="11">
        <f>ROUND((IF(D9&gt;=3000,100,IF(D9&gt;=1000,85,IF(D9&gt;=500,70,IF(D9&gt;=100,50,IF(D9&gt;=30,30,10))))))*0.4+(IF(E9&gt;=8,100,IF(E9&gt;=4,80,IF(E9&gt;=2,60,IF(E9&gt;=1,40,20)))))*0.2+(IF(F9&gt;=100,100,IF(F9&gt;=50,85,IF(F9&gt;=20,70,IF(F9&gt;=5,50,IF(F9&gt;=1,30,10))))))*0.2+(IF(G9&gt;=30,100,IF(G9&gt;=15,80,IF(G9&gt;=8,60,IF(G9&gt;=3,40,20)))))*0.2,1)</f>
        <v/>
      </c>
      <c r="W9" s="11">
        <f>ROUND((IF(H9&gt;=6,100,IF(H9&gt;=4,85,IF(H9&gt;=2,65,IF(H9&gt;=1,40,IF(H9&gt;=0,15,0))))))*0.6+(IF(I9&gt;=5,100,IF(I9&gt;=2,80,IF(I9&gt;=0.5,60,IF(I9&gt;=0.1,40,20)))))*0.28+(IF(J9&gt;20,100,IF(J9&gt;=5,80,IF(J9&gt;=-5,60,IF(J9&gt;=-20,40,20)))))*0.12,1)</f>
        <v/>
      </c>
      <c r="X9" s="11">
        <f>ROUND((IF(K9&lt;=30,100,IF(K9&lt;=60,80,IF(K9&lt;=90,60,IF(K9&lt;=120,35,10)))))*0.35+(IF(L9&lt;=0,100,IF(L9&lt;=10,85,IF(L9&lt;=25,60,IF(L9&lt;=50,30,5)))))*0.3+(IF(M9&gt;=95,100,IF(M9&gt;=85,80,IF(M9&gt;=70,55,IF(M9&gt;=50,30,10)))))*0.2+(IF(N9&lt;=0,100,IF(N9&lt;=1,70,IF(N9&lt;=2,40,IF(N9&lt;=3,15,0)))))*0.15,1)</f>
        <v/>
      </c>
      <c r="Y9" s="11">
        <f>ROUND((IF(O9&gt;=5,100,IF(O9&gt;=3,85,IF(O9&gt;=1,65,IF(O9&gt;=0.5,40,20)))))*0.3+(IF(P9&gt;=10,100,IF(P9&gt;=7,80,IF(P9&gt;=4,60,IF(P9&gt;=1,30,0)))))*0.4+(IF(Q9&gt;=80,100,IF(Q9&gt;=60,80,IF(Q9&gt;=40,50,IF(Q9&gt;=20,30,15)))))*0.3,1)</f>
        <v/>
      </c>
      <c r="Z9" s="11">
        <f>ROUND((IF(R9&gt;=85,100,IF(R9&gt;=65,80,IF(R9&gt;=50,60,IF(R9&gt;=30,40,20)))))*0.3+(IF(S9&gt;30,100,IF(S9&gt;=10,80,IF(S9&gt;=-10,60,IF(S9&gt;=-30,35,10)))))*0.27+(IF(T9&lt;30,100,IF(T9&lt;60,70,IF(T9&lt;80,50,IF(T9&lt;95,30,10)))))*0.27+(IF(U9&gt;=80,100,IF(U9&gt;=60,70,IF(U9&gt;=40,55,IF(U9&gt;=20,40,25)))))*0.16,1)</f>
        <v/>
      </c>
      <c r="AA9" s="13">
        <f>ROUND(V9*0.25+W9*0.25+X9*0.2+Y9*0.15+Z9*0.15,1)</f>
        <v/>
      </c>
      <c r="AB9" s="19">
        <f>IF(N9&gt;=2,"D 黑名单",IF(M9&lt;50,"D 强制",IF(L9&gt;50,"D 冻结",IF(H9&lt;0,IF(AA9&gt;=55,"C P1&lt;0",IF(AA9&gt;=40,"C",IF(AA9&gt;=30,"C","D"))),IF(AA9&gt;=85,"S 钻石",IF(AA9&gt;=70,"A 黄金",IF(AA9&gt;=55,"B 白银",IF(AA9&gt;=40,"C 青铜","D 警示"))))))))</f>
        <v/>
      </c>
    </row>
    <row r="10">
      <c r="A10" s="8" t="n">
        <v>6</v>
      </c>
      <c r="B10" s="7" t="inlineStr">
        <is>
          <t>天津 XX 钢贸</t>
        </is>
      </c>
      <c r="C10" s="8" t="inlineStr">
        <is>
          <t>钢贸</t>
        </is>
      </c>
      <c r="D10" s="22" t="n">
        <v>800</v>
      </c>
      <c r="E10" s="22" t="n">
        <v>3.5</v>
      </c>
      <c r="F10" s="22" t="n">
        <v>23</v>
      </c>
      <c r="G10" s="22" t="n">
        <v>10</v>
      </c>
      <c r="H10" s="22" t="n">
        <v>2</v>
      </c>
      <c r="I10" s="22" t="n">
        <v>0.3</v>
      </c>
      <c r="J10" s="22" t="n">
        <v>-15</v>
      </c>
      <c r="K10" s="22" t="n">
        <v>95</v>
      </c>
      <c r="L10" s="22" t="n">
        <v>38</v>
      </c>
      <c r="M10" s="22" t="n">
        <v>60</v>
      </c>
      <c r="N10" s="22" t="n">
        <v>2</v>
      </c>
      <c r="O10" s="22" t="n">
        <v>4</v>
      </c>
      <c r="P10" s="22" t="n">
        <v>8</v>
      </c>
      <c r="Q10" s="22" t="n">
        <v>50</v>
      </c>
      <c r="R10" s="22" t="n">
        <v>45</v>
      </c>
      <c r="S10" s="22" t="n">
        <v>-20</v>
      </c>
      <c r="T10" s="22" t="n">
        <v>55</v>
      </c>
      <c r="U10" s="22" t="n">
        <v>60</v>
      </c>
      <c r="V10" s="11">
        <f>ROUND((IF(D10&gt;=3000,100,IF(D10&gt;=1000,85,IF(D10&gt;=500,70,IF(D10&gt;=100,50,IF(D10&gt;=30,30,10))))))*0.4+(IF(E10&gt;=8,100,IF(E10&gt;=4,80,IF(E10&gt;=2,60,IF(E10&gt;=1,40,20)))))*0.2+(IF(F10&gt;=100,100,IF(F10&gt;=50,85,IF(F10&gt;=20,70,IF(F10&gt;=5,50,IF(F10&gt;=1,30,10))))))*0.2+(IF(G10&gt;=30,100,IF(G10&gt;=15,80,IF(G10&gt;=8,60,IF(G10&gt;=3,40,20)))))*0.2,1)</f>
        <v/>
      </c>
      <c r="W10" s="11">
        <f>ROUND((IF(H10&gt;=6,100,IF(H10&gt;=4,85,IF(H10&gt;=2,65,IF(H10&gt;=1,40,IF(H10&gt;=0,15,0))))))*0.6+(IF(I10&gt;=5,100,IF(I10&gt;=2,80,IF(I10&gt;=0.5,60,IF(I10&gt;=0.1,40,20)))))*0.28+(IF(J10&gt;20,100,IF(J10&gt;=5,80,IF(J10&gt;=-5,60,IF(J10&gt;=-20,40,20)))))*0.12,1)</f>
        <v/>
      </c>
      <c r="X10" s="11">
        <f>ROUND((IF(K10&lt;=30,100,IF(K10&lt;=60,80,IF(K10&lt;=90,60,IF(K10&lt;=120,35,10)))))*0.35+(IF(L10&lt;=0,100,IF(L10&lt;=10,85,IF(L10&lt;=25,60,IF(L10&lt;=50,30,5)))))*0.3+(IF(M10&gt;=95,100,IF(M10&gt;=85,80,IF(M10&gt;=70,55,IF(M10&gt;=50,30,10)))))*0.2+(IF(N10&lt;=0,100,IF(N10&lt;=1,70,IF(N10&lt;=2,40,IF(N10&lt;=3,15,0)))))*0.15,1)</f>
        <v/>
      </c>
      <c r="Y10" s="11">
        <f>ROUND((IF(O10&gt;=5,100,IF(O10&gt;=3,85,IF(O10&gt;=1,65,IF(O10&gt;=0.5,40,20)))))*0.3+(IF(P10&gt;=10,100,IF(P10&gt;=7,80,IF(P10&gt;=4,60,IF(P10&gt;=1,30,0)))))*0.4+(IF(Q10&gt;=80,100,IF(Q10&gt;=60,80,IF(Q10&gt;=40,50,IF(Q10&gt;=20,30,15)))))*0.3,1)</f>
        <v/>
      </c>
      <c r="Z10" s="11">
        <f>ROUND((IF(R10&gt;=85,100,IF(R10&gt;=65,80,IF(R10&gt;=50,60,IF(R10&gt;=30,40,20)))))*0.3+(IF(S10&gt;30,100,IF(S10&gt;=10,80,IF(S10&gt;=-10,60,IF(S10&gt;=-30,35,10)))))*0.27+(IF(T10&lt;30,100,IF(T10&lt;60,70,IF(T10&lt;80,50,IF(T10&lt;95,30,10)))))*0.27+(IF(U10&gt;=80,100,IF(U10&gt;=60,70,IF(U10&gt;=40,55,IF(U10&gt;=20,40,25)))))*0.16,1)</f>
        <v/>
      </c>
      <c r="AA10" s="13">
        <f>ROUND(V10*0.25+W10*0.25+X10*0.2+Y10*0.15+Z10*0.15,1)</f>
        <v/>
      </c>
      <c r="AB10" s="19">
        <f>IF(N10&gt;=2,"D 黑名单",IF(M10&lt;50,"D 强制",IF(L10&gt;50,"D 冻结",IF(H10&lt;0,IF(AA10&gt;=55,"C P1&lt;0",IF(AA10&gt;=40,"C",IF(AA10&gt;=30,"C","D"))),IF(AA10&gt;=85,"S 钻石",IF(AA10&gt;=70,"A 黄金",IF(AA10&gt;=55,"B 白银",IF(AA10&gt;=40,"C 青铜","D 警示"))))))))</f>
        <v/>
      </c>
    </row>
    <row r="11">
      <c r="A11" s="8" t="n">
        <v>7</v>
      </c>
      <c r="B11" s="28" t="n"/>
      <c r="C11" s="28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</row>
    <row r="12">
      <c r="A12" s="8" t="n">
        <v>8</v>
      </c>
      <c r="B12" s="28" t="n"/>
      <c r="C12" s="28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</row>
    <row r="13">
      <c r="A13" s="8" t="n">
        <v>9</v>
      </c>
      <c r="B13" s="28" t="n"/>
      <c r="C13" s="28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</row>
    <row r="14">
      <c r="A14" s="8" t="n">
        <v>10</v>
      </c>
      <c r="B14" s="28" t="n"/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</row>
    <row r="15">
      <c r="A15" s="8" t="n">
        <v>11</v>
      </c>
      <c r="B15" s="28" t="n"/>
      <c r="C15" s="28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</row>
    <row r="16">
      <c r="A16" s="8" t="n">
        <v>12</v>
      </c>
      <c r="B16" s="28" t="n"/>
      <c r="C16" s="28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</row>
    <row r="17">
      <c r="A17" s="8" t="n">
        <v>13</v>
      </c>
      <c r="B17" s="28" t="n"/>
      <c r="C17" s="28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</row>
    <row r="18">
      <c r="A18" s="8" t="n">
        <v>14</v>
      </c>
      <c r="B18" s="28" t="n"/>
      <c r="C18" s="28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</row>
    <row r="19">
      <c r="A19" s="8" t="n">
        <v>15</v>
      </c>
      <c r="B19" s="28" t="n"/>
      <c r="C19" s="28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</row>
    <row r="20">
      <c r="A20" s="8" t="n">
        <v>16</v>
      </c>
      <c r="B20" s="28" t="n"/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</row>
    <row r="21">
      <c r="A21" s="8" t="n">
        <v>17</v>
      </c>
      <c r="B21" s="28" t="n"/>
      <c r="C21" s="28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</row>
    <row r="22">
      <c r="A22" s="8" t="n">
        <v>18</v>
      </c>
      <c r="B22" s="28" t="n"/>
      <c r="C22" s="28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</row>
    <row r="23">
      <c r="A23" s="8" t="n">
        <v>19</v>
      </c>
      <c r="B23" s="28" t="n"/>
      <c r="C23" s="28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</row>
    <row r="24">
      <c r="A24" s="8" t="n">
        <v>20</v>
      </c>
      <c r="B24" s="28" t="n"/>
      <c r="C24" s="28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</row>
    <row r="25">
      <c r="A25" s="8" t="n">
        <v>21</v>
      </c>
      <c r="B25" s="28" t="n"/>
      <c r="C25" s="28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</row>
    <row r="26">
      <c r="A26" s="8" t="n">
        <v>22</v>
      </c>
      <c r="B26" s="28" t="n"/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</row>
    <row r="27">
      <c r="A27" s="8" t="n">
        <v>23</v>
      </c>
      <c r="B27" s="28" t="n"/>
      <c r="C27" s="28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</row>
    <row r="28">
      <c r="A28" s="8" t="n">
        <v>24</v>
      </c>
      <c r="B28" s="28" t="n"/>
      <c r="C28" s="28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</row>
    <row r="29">
      <c r="A29" s="8" t="n">
        <v>25</v>
      </c>
      <c r="B29" s="28" t="n"/>
      <c r="C29" s="28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</row>
    <row r="30">
      <c r="A30" s="8" t="n">
        <v>26</v>
      </c>
      <c r="B30" s="28" t="n"/>
      <c r="C30" s="28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</row>
    <row r="31">
      <c r="A31" s="8" t="n">
        <v>27</v>
      </c>
      <c r="B31" s="28" t="n"/>
      <c r="C31" s="28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</row>
    <row r="32">
      <c r="A32" s="8" t="n">
        <v>28</v>
      </c>
      <c r="B32" s="28" t="n"/>
      <c r="C32" s="28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</row>
    <row r="33">
      <c r="A33" s="8" t="n">
        <v>29</v>
      </c>
      <c r="B33" s="28" t="n"/>
      <c r="C33" s="28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</row>
    <row r="34">
      <c r="A34" s="8" t="n">
        <v>30</v>
      </c>
      <c r="B34" s="28" t="n"/>
      <c r="C34" s="28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</row>
    <row r="35">
      <c r="A35" s="8" t="n">
        <v>31</v>
      </c>
      <c r="B35" s="28" t="n"/>
      <c r="C35" s="28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</row>
    <row r="36">
      <c r="A36" s="8" t="n">
        <v>32</v>
      </c>
      <c r="B36" s="28" t="n"/>
      <c r="C36" s="28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</row>
    <row r="37">
      <c r="A37" s="8" t="n">
        <v>33</v>
      </c>
      <c r="B37" s="28" t="n"/>
      <c r="C37" s="28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</row>
    <row r="38">
      <c r="A38" s="8" t="n">
        <v>34</v>
      </c>
      <c r="B38" s="28" t="n"/>
      <c r="C38" s="28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</row>
    <row r="39">
      <c r="A39" s="8" t="n">
        <v>35</v>
      </c>
      <c r="B39" s="28" t="n"/>
      <c r="C39" s="28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</row>
    <row r="40">
      <c r="A40" s="8" t="n">
        <v>36</v>
      </c>
      <c r="B40" s="28" t="n"/>
      <c r="C40" s="28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</row>
    <row r="41">
      <c r="A41" s="8" t="n">
        <v>37</v>
      </c>
      <c r="B41" s="28" t="n"/>
      <c r="C41" s="28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</row>
    <row r="42">
      <c r="A42" s="8" t="n">
        <v>38</v>
      </c>
      <c r="B42" s="28" t="n"/>
      <c r="C42" s="28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</row>
    <row r="43">
      <c r="A43" s="8" t="n">
        <v>39</v>
      </c>
      <c r="B43" s="28" t="n"/>
      <c r="C43" s="28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</row>
    <row r="44">
      <c r="A44" s="8" t="n">
        <v>40</v>
      </c>
      <c r="B44" s="28" t="n"/>
      <c r="C44" s="28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</row>
    <row r="45">
      <c r="A45" s="8" t="n">
        <v>41</v>
      </c>
      <c r="B45" s="28" t="n"/>
      <c r="C45" s="28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</row>
    <row r="46">
      <c r="A46" s="8" t="n">
        <v>42</v>
      </c>
      <c r="B46" s="28" t="n"/>
      <c r="C46" s="28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</row>
    <row r="47">
      <c r="A47" s="8" t="n">
        <v>43</v>
      </c>
      <c r="B47" s="28" t="n"/>
      <c r="C47" s="28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</row>
    <row r="48">
      <c r="A48" s="8" t="n">
        <v>44</v>
      </c>
      <c r="B48" s="28" t="n"/>
      <c r="C48" s="28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</row>
    <row r="49">
      <c r="A49" s="8" t="n">
        <v>45</v>
      </c>
      <c r="B49" s="28" t="n"/>
      <c r="C49" s="28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</row>
    <row r="50">
      <c r="A50" s="8" t="n">
        <v>46</v>
      </c>
      <c r="B50" s="28" t="n"/>
      <c r="C50" s="28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</row>
    <row r="51">
      <c r="A51" s="8" t="n">
        <v>47</v>
      </c>
      <c r="B51" s="28" t="n"/>
      <c r="C51" s="28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</row>
    <row r="52">
      <c r="A52" s="8" t="n">
        <v>48</v>
      </c>
      <c r="B52" s="28" t="n"/>
      <c r="C52" s="28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</row>
    <row r="53">
      <c r="A53" s="8" t="n">
        <v>49</v>
      </c>
      <c r="B53" s="28" t="n"/>
      <c r="C53" s="28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</row>
    <row r="54">
      <c r="A54" s="8" t="n">
        <v>50</v>
      </c>
      <c r="B54" s="28" t="n"/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</row>
    <row r="56" ht="22" customHeight="1">
      <c r="A56" s="2" t="inlineStr">
        <is>
          <t>使用说明</t>
        </is>
      </c>
    </row>
    <row r="57">
      <c r="A57" s="14" t="inlineStr">
        <is>
          <t>1. 黄色单元格 = 录入区（V1-V4 / P1-P3 / R1-R4 / L1-L3 / G1-G4 共 18 个子指标）</t>
        </is>
      </c>
    </row>
    <row r="58">
      <c r="A58" s="14" t="inlineStr">
        <is>
          <t>2. 绿色单元格 = 自动计算（5 维度分 + 综合分）</t>
        </is>
      </c>
    </row>
    <row r="59">
      <c r="A59" s="14" t="inlineStr">
        <is>
          <t>3. 金色单元格 = 综合分</t>
        </is>
      </c>
    </row>
    <row r="60">
      <c r="A60" s="14" t="inlineStr">
        <is>
          <t>4. 深绿色单元格 = 最终等级（含强制规则）</t>
        </is>
      </c>
    </row>
    <row r="61">
      <c r="A61" s="14" t="inlineStr">
        <is>
          <t>5. 强制规则：R4≥2=D黑名单 / R3&lt;50=D强制 / R2&gt;50=D冻结 / P1&lt;0=不超 C</t>
        </is>
      </c>
    </row>
    <row r="62">
      <c r="A62" s="14" t="inlineStr">
        <is>
          <t>6. 可拖拽公式至 50 行批量评级</t>
        </is>
      </c>
    </row>
  </sheetData>
  <mergeCells count="9">
    <mergeCell ref="A2:AB2"/>
    <mergeCell ref="A59:AB59"/>
    <mergeCell ref="A57:AB57"/>
    <mergeCell ref="A60:AB60"/>
    <mergeCell ref="A1:AB1"/>
    <mergeCell ref="A56:AB56"/>
    <mergeCell ref="A61:AB61"/>
    <mergeCell ref="A58:AB58"/>
    <mergeCell ref="A62:AB6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6" customWidth="1" min="4" max="4"/>
    <col width="18" customWidth="1" min="5" max="5"/>
    <col width="28" customWidth="1" min="6" max="6"/>
  </cols>
  <sheetData>
    <row r="1" ht="30" customHeight="1">
      <c r="A1" s="1" t="inlineStr">
        <is>
          <t>5 维度 × 18 子指标速查</t>
        </is>
      </c>
    </row>
    <row r="2" ht="22" customHeight="1">
      <c r="A2" s="2" t="inlineStr">
        <is>
          <t>完整规则见 docs/69-CRM分级落地细则与评估细节.md</t>
        </is>
      </c>
    </row>
    <row r="4">
      <c r="A4" s="1" t="inlineStr">
        <is>
          <t>#</t>
        </is>
      </c>
      <c r="B4" s="1" t="inlineStr">
        <is>
          <t>维度</t>
        </is>
      </c>
      <c r="C4" s="1" t="inlineStr">
        <is>
          <t>权重</t>
        </is>
      </c>
      <c r="D4" s="1" t="inlineStr">
        <is>
          <t>子指标</t>
        </is>
      </c>
      <c r="E4" s="1" t="inlineStr">
        <is>
          <t>权重</t>
        </is>
      </c>
      <c r="F4" s="1" t="inlineStr">
        <is>
          <t>说明</t>
        </is>
      </c>
    </row>
    <row r="5">
      <c r="A5" s="8" t="inlineStr">
        <is>
          <t>①</t>
        </is>
      </c>
      <c r="B5" s="8" t="inlineStr">
        <is>
          <t>价值</t>
        </is>
      </c>
      <c r="C5" s="8" t="inlineStr">
        <is>
          <t>25%</t>
        </is>
      </c>
      <c r="D5" s="8" t="inlineStr">
        <is>
          <t>V1 年采购额</t>
        </is>
      </c>
      <c r="E5" s="8" t="inlineStr">
        <is>
          <t>40%</t>
        </is>
      </c>
      <c r="F5" s="8" t="inlineStr">
        <is>
          <t>近 12 月订单总额（钢厂×3 / 加工×0.5）</t>
        </is>
      </c>
    </row>
    <row r="6">
      <c r="A6" s="8" t="inlineStr"/>
      <c r="B6" s="8" t="inlineStr"/>
      <c r="C6" s="8" t="inlineStr"/>
      <c r="D6" s="8" t="inlineStr">
        <is>
          <t>V2 月均订单数</t>
        </is>
      </c>
      <c r="E6" s="8" t="inlineStr">
        <is>
          <t>20%</t>
        </is>
      </c>
      <c r="F6" s="8" t="inlineStr">
        <is>
          <t>近 12 月订单数 / 12</t>
        </is>
      </c>
    </row>
    <row r="7">
      <c r="A7" s="8" t="inlineStr"/>
      <c r="B7" s="8" t="inlineStr"/>
      <c r="C7" s="8" t="inlineStr"/>
      <c r="D7" s="8" t="inlineStr">
        <is>
          <t>V3 单笔均值</t>
        </is>
      </c>
      <c r="E7" s="8" t="inlineStr">
        <is>
          <t>20%</t>
        </is>
      </c>
      <c r="F7" s="8" t="inlineStr">
        <is>
          <t>订单总额 / 订单数</t>
        </is>
      </c>
    </row>
    <row r="8">
      <c r="A8" s="8" t="inlineStr"/>
      <c r="B8" s="8" t="inlineStr"/>
      <c r="C8" s="8" t="inlineStr"/>
      <c r="D8" s="8" t="inlineStr">
        <is>
          <t>V4 SKU 多样度</t>
        </is>
      </c>
      <c r="E8" s="8" t="inlineStr">
        <is>
          <t>20%</t>
        </is>
      </c>
      <c r="F8" s="8" t="inlineStr">
        <is>
          <t>近 12 月不重复 SKU 数</t>
        </is>
      </c>
    </row>
    <row r="9">
      <c r="A9" s="8" t="inlineStr">
        <is>
          <t>②</t>
        </is>
      </c>
      <c r="B9" s="8" t="inlineStr">
        <is>
          <t>利润</t>
        </is>
      </c>
      <c r="C9" s="8" t="inlineStr">
        <is>
          <t>25%</t>
        </is>
      </c>
      <c r="D9" s="8" t="inlineStr">
        <is>
          <t>P1 综合毛利率</t>
        </is>
      </c>
      <c r="E9" s="8" t="inlineStr">
        <is>
          <t>60%</t>
        </is>
      </c>
      <c r="F9" s="8" t="inlineStr">
        <is>
          <t>★ &lt;0% 强制不超 C</t>
        </is>
      </c>
    </row>
    <row r="10">
      <c r="A10" s="8" t="inlineStr"/>
      <c r="B10" s="8" t="inlineStr"/>
      <c r="C10" s="8" t="inlineStr"/>
      <c r="D10" s="8" t="inlineStr">
        <is>
          <t>P2 年贡献毛利占公司</t>
        </is>
      </c>
      <c r="E10" s="8" t="inlineStr">
        <is>
          <t>28%</t>
        </is>
      </c>
      <c r="F10" s="8" t="inlineStr">
        <is>
          <t>客户毛利 / 公司总毛利</t>
        </is>
      </c>
    </row>
    <row r="11">
      <c r="A11" s="8" t="inlineStr"/>
      <c r="B11" s="8" t="inlineStr"/>
      <c r="C11" s="8" t="inlineStr"/>
      <c r="D11" s="8" t="inlineStr">
        <is>
          <t>P3 利润同比</t>
        </is>
      </c>
      <c r="E11" s="8" t="inlineStr">
        <is>
          <t>12%</t>
        </is>
      </c>
      <c r="F11" s="8" t="inlineStr">
        <is>
          <t>今年毛利 vs 去年</t>
        </is>
      </c>
    </row>
    <row r="12">
      <c r="A12" s="8" t="inlineStr">
        <is>
          <t>③</t>
        </is>
      </c>
      <c r="B12" s="8" t="inlineStr">
        <is>
          <t>付款</t>
        </is>
      </c>
      <c r="C12" s="8" t="inlineStr">
        <is>
          <t>20%</t>
        </is>
      </c>
      <c r="D12" s="8" t="inlineStr">
        <is>
          <t>R1 应收周转天数</t>
        </is>
      </c>
      <c r="E12" s="8" t="inlineStr">
        <is>
          <t>35%</t>
        </is>
      </c>
      <c r="F12" s="8" t="inlineStr">
        <is>
          <t>平均应收/销售×365</t>
        </is>
      </c>
    </row>
    <row r="13">
      <c r="A13" s="8" t="inlineStr"/>
      <c r="B13" s="8" t="inlineStr"/>
      <c r="C13" s="8" t="inlineStr"/>
      <c r="D13" s="8" t="inlineStr">
        <is>
          <t>R2 90 天+ 应收占比</t>
        </is>
      </c>
      <c r="E13" s="8" t="inlineStr">
        <is>
          <t>30%</t>
        </is>
      </c>
      <c r="F13" s="8" t="inlineStr">
        <is>
          <t>★ &gt;50% 强制 D + 冻结</t>
        </is>
      </c>
    </row>
    <row r="14">
      <c r="A14" s="8" t="inlineStr"/>
      <c r="B14" s="8" t="inlineStr"/>
      <c r="C14" s="8" t="inlineStr"/>
      <c r="D14" s="8" t="inlineStr">
        <is>
          <t>R3 付款准时率</t>
        </is>
      </c>
      <c r="E14" s="8" t="inlineStr">
        <is>
          <t>20%</t>
        </is>
      </c>
      <c r="F14" s="8" t="inlineStr">
        <is>
          <t>★ &lt;50% 强制 D</t>
        </is>
      </c>
    </row>
    <row r="15">
      <c r="A15" s="8" t="inlineStr"/>
      <c r="B15" s="8" t="inlineStr"/>
      <c r="C15" s="8" t="inlineStr"/>
      <c r="D15" s="8" t="inlineStr">
        <is>
          <t>R4 历史坏账次数</t>
        </is>
      </c>
      <c r="E15" s="8" t="inlineStr">
        <is>
          <t>15%</t>
        </is>
      </c>
      <c r="F15" s="8" t="inlineStr">
        <is>
          <t>★ ≥2 次强制 D + 黑名单</t>
        </is>
      </c>
    </row>
    <row r="16">
      <c r="A16" s="8" t="inlineStr">
        <is>
          <t>④</t>
        </is>
      </c>
      <c r="B16" s="8" t="inlineStr">
        <is>
          <t>粘性</t>
        </is>
      </c>
      <c r="C16" s="8" t="inlineStr">
        <is>
          <t>15%</t>
        </is>
      </c>
      <c r="D16" s="8" t="inlineStr">
        <is>
          <t>L1 合作年限</t>
        </is>
      </c>
      <c r="E16" s="8" t="inlineStr">
        <is>
          <t>30%</t>
        </is>
      </c>
      <c r="F16" s="8" t="inlineStr">
        <is>
          <t>首次合作至今</t>
        </is>
      </c>
    </row>
    <row r="17">
      <c r="A17" s="8" t="inlineStr"/>
      <c r="B17" s="8" t="inlineStr"/>
      <c r="C17" s="8" t="inlineStr"/>
      <c r="D17" s="8" t="inlineStr">
        <is>
          <t>L2 近 12 月活跃度</t>
        </is>
      </c>
      <c r="E17" s="8" t="inlineStr">
        <is>
          <t>40%</t>
        </is>
      </c>
      <c r="F17" s="8" t="inlineStr">
        <is>
          <t>下单/询价月数</t>
        </is>
      </c>
    </row>
    <row r="18">
      <c r="A18" s="8" t="inlineStr"/>
      <c r="B18" s="8" t="inlineStr"/>
      <c r="C18" s="8" t="inlineStr"/>
      <c r="D18" s="8" t="inlineStr">
        <is>
          <t>L3 对接深度</t>
        </is>
      </c>
      <c r="E18" s="8" t="inlineStr">
        <is>
          <t>30%</t>
        </is>
      </c>
      <c r="F18" s="8" t="inlineStr">
        <is>
          <t>对接人数 + EDI + 多部门</t>
        </is>
      </c>
    </row>
    <row r="19">
      <c r="A19" s="8" t="inlineStr">
        <is>
          <t>⑤</t>
        </is>
      </c>
      <c r="B19" s="8" t="inlineStr">
        <is>
          <t>潜力</t>
        </is>
      </c>
      <c r="C19" s="8" t="inlineStr">
        <is>
          <t>15%</t>
        </is>
      </c>
      <c r="D19" s="8" t="inlineStr">
        <is>
          <t>G1 客户行业景气</t>
        </is>
      </c>
      <c r="E19" s="8" t="inlineStr">
        <is>
          <t>30%</t>
        </is>
      </c>
      <c r="F19" s="8" t="inlineStr">
        <is>
          <t>汽车/家电/出口 高</t>
        </is>
      </c>
    </row>
    <row r="20">
      <c r="A20" s="8" t="inlineStr"/>
      <c r="B20" s="8" t="inlineStr"/>
      <c r="C20" s="8" t="inlineStr"/>
      <c r="D20" s="8" t="inlineStr">
        <is>
          <t>G2 客户自身增长</t>
        </is>
      </c>
      <c r="E20" s="8" t="inlineStr">
        <is>
          <t>27%</t>
        </is>
      </c>
      <c r="F20" s="8" t="inlineStr">
        <is>
          <t>客户营收同比</t>
        </is>
      </c>
    </row>
    <row r="21">
      <c r="A21" s="8" t="inlineStr"/>
      <c r="B21" s="8" t="inlineStr"/>
      <c r="C21" s="8" t="inlineStr"/>
      <c r="D21" s="8" t="inlineStr">
        <is>
          <t>G3 业态拓展空间</t>
        </is>
      </c>
      <c r="E21" s="8" t="inlineStr">
        <is>
          <t>27%</t>
        </is>
      </c>
      <c r="F21" s="8" t="inlineStr">
        <is>
          <t>客户已买/我能卖 比例</t>
        </is>
      </c>
    </row>
    <row r="22">
      <c r="A22" s="8" t="inlineStr"/>
      <c r="B22" s="8" t="inlineStr"/>
      <c r="C22" s="8" t="inlineStr"/>
      <c r="D22" s="8" t="inlineStr">
        <is>
          <t>G4 区域/政策红利</t>
        </is>
      </c>
      <c r="E22" s="8" t="inlineStr">
        <is>
          <t>16%</t>
        </is>
      </c>
      <c r="F22" s="8" t="inlineStr">
        <is>
          <t>长三角/雄安/出口</t>
        </is>
      </c>
    </row>
    <row r="25" ht="30" customHeight="1">
      <c r="A25" s="5" t="inlineStr">
        <is>
          <t>5 级评分边界 + 强制规则</t>
        </is>
      </c>
    </row>
    <row r="26">
      <c r="A26" s="2" t="inlineStr">
        <is>
          <t>等级</t>
        </is>
      </c>
      <c r="B26" s="2" t="inlineStr">
        <is>
          <t>分数区间</t>
        </is>
      </c>
      <c r="C26" s="2" t="inlineStr">
        <is>
          <t>—</t>
        </is>
      </c>
      <c r="D26" s="2" t="inlineStr">
        <is>
          <t>占比目标</t>
        </is>
      </c>
      <c r="E26" s="2" t="inlineStr">
        <is>
          <t>—</t>
        </is>
      </c>
      <c r="F26" s="2" t="inlineStr">
        <is>
          <t>强制触发</t>
        </is>
      </c>
    </row>
    <row r="27">
      <c r="A27" s="8" t="inlineStr">
        <is>
          <t>S 钻石</t>
        </is>
      </c>
      <c r="B27" s="8" t="inlineStr">
        <is>
          <t>≥ 85</t>
        </is>
      </c>
      <c r="C27" s="8" t="inlineStr"/>
      <c r="D27" s="8" t="inlineStr">
        <is>
          <t>≤ 5%</t>
        </is>
      </c>
      <c r="E27" s="8" t="inlineStr"/>
      <c r="F27" s="8" t="inlineStr">
        <is>
          <t>—</t>
        </is>
      </c>
    </row>
    <row r="28">
      <c r="A28" s="8" t="inlineStr">
        <is>
          <t>A 黄金</t>
        </is>
      </c>
      <c r="B28" s="8" t="inlineStr">
        <is>
          <t>70-84</t>
        </is>
      </c>
      <c r="C28" s="8" t="inlineStr"/>
      <c r="D28" s="8" t="inlineStr">
        <is>
          <t>15-20%</t>
        </is>
      </c>
      <c r="E28" s="8" t="inlineStr"/>
      <c r="F28" s="8" t="inlineStr">
        <is>
          <t>—</t>
        </is>
      </c>
    </row>
    <row r="29">
      <c r="A29" s="8" t="inlineStr">
        <is>
          <t>B 白银</t>
        </is>
      </c>
      <c r="B29" s="8" t="inlineStr">
        <is>
          <t>55-69</t>
        </is>
      </c>
      <c r="C29" s="8" t="inlineStr"/>
      <c r="D29" s="8" t="inlineStr">
        <is>
          <t>40-50%</t>
        </is>
      </c>
      <c r="E29" s="8" t="inlineStr"/>
      <c r="F29" s="8" t="inlineStr">
        <is>
          <t>—</t>
        </is>
      </c>
    </row>
    <row r="30">
      <c r="A30" s="8" t="inlineStr">
        <is>
          <t>C 青铜</t>
        </is>
      </c>
      <c r="B30" s="8" t="inlineStr">
        <is>
          <t>40-54</t>
        </is>
      </c>
      <c r="C30" s="8" t="inlineStr"/>
      <c r="D30" s="8" t="inlineStr">
        <is>
          <t>25-30%</t>
        </is>
      </c>
      <c r="E30" s="8" t="inlineStr"/>
      <c r="F30" s="8" t="inlineStr">
        <is>
          <t>P1&lt;0% 不超 C</t>
        </is>
      </c>
    </row>
    <row r="31">
      <c r="A31" s="8" t="inlineStr">
        <is>
          <t>D 警示</t>
        </is>
      </c>
      <c r="B31" s="8" t="inlineStr">
        <is>
          <t>&lt; 40</t>
        </is>
      </c>
      <c r="C31" s="8" t="inlineStr"/>
      <c r="D31" s="8" t="inlineStr">
        <is>
          <t>≤ 10%</t>
        </is>
      </c>
      <c r="E31" s="8" t="inlineStr"/>
      <c r="F31" s="8" t="inlineStr">
        <is>
          <t>R4≥2 / R3&lt;50% / R2&gt;50%</t>
        </is>
      </c>
    </row>
  </sheetData>
  <mergeCells count="3">
    <mergeCell ref="A2:F2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2026-06-14T13:50:18Z</dcterms:created>
  <dcterms:modified xsi:type="dcterms:W3CDTF">2026-06-14T13:50:18Z</dcterms:modified>
</cp:coreProperties>
</file>