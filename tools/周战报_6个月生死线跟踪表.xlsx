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当周战报模板" sheetId="2" state="visible" r:id="rId2"/>
    <sheet name="24周数据看板" sheetId="3" state="visible" r:id="rId3"/>
    <sheet name="生死线进度" sheetId="4" state="visible" r:id="rId4"/>
    <sheet name="月度战报" sheetId="5" state="visible" r:id="rId5"/>
    <sheet name="W6中期评估" sheetId="6" state="visible" r:id="rId6"/>
    <sheet name="W12生死线评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¥&quot;#,##0"/>
  </numFmts>
  <fonts count="7">
    <font>
      <name val="Calibri"/>
      <family val="2"/>
      <color theme="1"/>
      <sz val="11"/>
      <scheme val="minor"/>
    </font>
    <font>
      <name val="Microsoft YaHei"/>
      <b val="1"/>
      <color rgb="001F4E79"/>
      <sz val="16"/>
    </font>
    <font>
      <name val="Microsoft YaHei"/>
      <b val="1"/>
      <sz val="10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FFFFFF"/>
      <sz val="10"/>
    </font>
    <font>
      <name val="Microsoft YaHei"/>
      <b val="1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B6C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9" fontId="2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00B050"/>
        </patternFill>
      </fill>
    </dxf>
    <dxf>
      <fill>
        <patternFill patternType="solid">
          <fgColor rgb="00FFC000"/>
        </patternFill>
      </fill>
    </dxf>
    <dxf>
      <fill>
        <patternFill patternType="solid">
          <fgColor rgb="00FF6B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8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70" customWidth="1" min="3" max="3"/>
  </cols>
  <sheetData>
    <row r="2">
      <c r="B2" s="1" t="inlineStr">
        <is>
          <t>6 个月生死线 · 周战报跟踪表（v1.0）</t>
        </is>
      </c>
    </row>
    <row r="4" ht="50" customHeight="1">
      <c r="B4" s="2" t="inlineStr">
        <is>
          <t>适用对象</t>
        </is>
      </c>
      <c r="C4" s="3" t="inlineStr">
        <is>
          <t>老板（主持）+ 销售运营经理（记录）+ 全员（出席）</t>
        </is>
      </c>
    </row>
    <row r="5" ht="119.2" customHeight="1">
      <c r="B5" s="2" t="inlineStr">
        <is>
          <t>使用步骤</t>
        </is>
      </c>
      <c r="C5" s="3" t="inlineStr">
        <is>
          <t>① 每周日晚由销售运营经理整理上周数据，填入『24 周数据看板』黄色单元格
② 周一 09:00 战报会上对照『当周战报模板』5+3+1 模型现场过
③ 决策结果写入战报模板的『本周决策』栏
④ 月底切换『月度战报』看 4 周累计趋势
⑤ W6 / W12 切换『中期评估』『生死线评估』做关键决策</t>
        </is>
      </c>
    </row>
    <row r="6" ht="50" customHeight="1">
      <c r="B6" s="2" t="inlineStr">
        <is>
          <t>5 个核心 KPI</t>
        </is>
      </c>
      <c r="C6" s="3" t="inlineStr">
        <is>
          <t>1. 新增线索数（周）
2. 新增 POC 数（周）
3. 新增签约数（周）
4. 当周回款（周）
5. 新增合伙人数（周）</t>
        </is>
      </c>
    </row>
    <row r="7" ht="50" customHeight="1">
      <c r="B7" s="2" t="inlineStr">
        <is>
          <t>生死线 5 项</t>
        </is>
      </c>
      <c r="C7" s="3" t="inlineStr">
        <is>
          <t>灯塔厂签约 ≥ 3 / 灯塔厂上线 ≥ 1 / 老板局 ≥ 1 / 月签 ≥ 3 / 累计回款 ≥ ¥30 万</t>
        </is>
      </c>
    </row>
    <row r="8" ht="75.2" customHeight="1">
      <c r="B8" s="2" t="inlineStr">
        <is>
          <t>会议铁律</t>
        </is>
      </c>
      <c r="C8" s="3" t="inlineStr">
        <is>
          <t>1. 每周一 09:00-09:30，30 分钟严格控时
2. 老板亲自主持
3. 5 数字 + 3 故事 + 1 决策
4. 决策必须写下来 + 下周回看
5. 失败案例不追责，只追教训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33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s="1" t="inlineStr">
        <is>
          <t>当周战报模板（每周一战报会用，可复制 / 打印）</t>
        </is>
      </c>
    </row>
    <row r="4">
      <c r="B4" s="4" t="inlineStr">
        <is>
          <t>期号</t>
        </is>
      </c>
      <c r="C4" s="5" t="inlineStr">
        <is>
          <t>第 ___ 期</t>
        </is>
      </c>
      <c r="D4" s="4" t="inlineStr">
        <is>
          <t>日期</t>
        </is>
      </c>
      <c r="E4" s="5" t="inlineStr">
        <is>
          <t>2026.__.__</t>
        </is>
      </c>
      <c r="F4" s="4" t="inlineStr">
        <is>
          <t>主持</t>
        </is>
      </c>
      <c r="G4" s="5" t="inlineStr">
        <is>
          <t>老板</t>
        </is>
      </c>
    </row>
    <row r="6">
      <c r="B6" s="6" t="inlineStr">
        <is>
          <t>▼ 一、5 个核心数字</t>
        </is>
      </c>
    </row>
    <row r="7">
      <c r="B7" s="2" t="inlineStr">
        <is>
          <t>指标</t>
        </is>
      </c>
      <c r="C7" s="2" t="inlineStr">
        <is>
          <t>上周实际</t>
        </is>
      </c>
      <c r="D7" s="2" t="inlineStr">
        <is>
          <t>上周目标</t>
        </is>
      </c>
      <c r="E7" s="2" t="inlineStr">
        <is>
          <t>本周目标</t>
        </is>
      </c>
      <c r="F7" s="2" t="inlineStr">
        <is>
          <t>累计达成</t>
        </is>
      </c>
      <c r="G7" s="2" t="inlineStr">
        <is>
          <t>总目标</t>
        </is>
      </c>
    </row>
    <row r="8">
      <c r="B8" s="4" t="inlineStr">
        <is>
          <t>新增线索数</t>
        </is>
      </c>
      <c r="C8" s="5" t="n"/>
      <c r="D8" s="5" t="n"/>
      <c r="E8" s="5" t="n"/>
      <c r="F8" s="5" t="n"/>
      <c r="G8" s="5" t="n"/>
    </row>
    <row r="9">
      <c r="B9" s="4" t="inlineStr">
        <is>
          <t>新增 POC 数</t>
        </is>
      </c>
      <c r="C9" s="5" t="n"/>
      <c r="D9" s="5" t="n"/>
      <c r="E9" s="5" t="n"/>
      <c r="F9" s="5" t="n"/>
      <c r="G9" s="5" t="n"/>
    </row>
    <row r="10">
      <c r="B10" s="4" t="inlineStr">
        <is>
          <t>新增签约数</t>
        </is>
      </c>
      <c r="C10" s="5" t="n"/>
      <c r="D10" s="5" t="n"/>
      <c r="E10" s="5" t="n"/>
      <c r="F10" s="5" t="n"/>
      <c r="G10" s="5" t="n"/>
    </row>
    <row r="11">
      <c r="B11" s="4" t="inlineStr">
        <is>
          <t>当周回款</t>
        </is>
      </c>
      <c r="C11" s="5" t="n"/>
      <c r="D11" s="5" t="n"/>
      <c r="E11" s="5" t="n"/>
      <c r="F11" s="5" t="n"/>
      <c r="G11" s="5" t="n"/>
    </row>
    <row r="12">
      <c r="B12" s="4" t="inlineStr">
        <is>
          <t>新增合伙人数</t>
        </is>
      </c>
      <c r="C12" s="5" t="n"/>
      <c r="D12" s="5" t="n"/>
      <c r="E12" s="5" t="n"/>
      <c r="F12" s="5" t="n"/>
      <c r="G12" s="5" t="n"/>
    </row>
    <row r="14">
      <c r="B14" s="6" t="inlineStr">
        <is>
          <t>▼ 二、3 个故事</t>
        </is>
      </c>
    </row>
    <row r="15" ht="50" customHeight="1">
      <c r="B15" s="7" t="inlineStr">
        <is>
          <t>故事 1（亮点客户）</t>
        </is>
      </c>
      <c r="C15" s="8" t="inlineStr">
        <is>
          <t>公司 + 老板</t>
        </is>
      </c>
      <c r="D15" s="9" t="n"/>
      <c r="F15" s="9" t="n"/>
    </row>
    <row r="16" ht="50" customHeight="1">
      <c r="B16" s="7" t="inlineStr">
        <is>
          <t>故事 2（失败客户）</t>
        </is>
      </c>
      <c r="C16" s="8" t="inlineStr">
        <is>
          <t>公司 + 老板</t>
        </is>
      </c>
      <c r="D16" s="9" t="n"/>
      <c r="F16" s="9" t="n"/>
    </row>
    <row r="17" ht="50" customHeight="1">
      <c r="B17" s="7" t="inlineStr">
        <is>
          <t>故事 3（学到的事）</t>
        </is>
      </c>
      <c r="C17" s="8" t="inlineStr">
        <is>
          <t>讲述人</t>
        </is>
      </c>
      <c r="D17" s="9" t="n"/>
      <c r="F17" s="9" t="n"/>
    </row>
    <row r="19">
      <c r="B19" s="6" t="inlineStr">
        <is>
          <t>▼ 三、6 月生死线进度（自动从『生死线进度』sheet 引用）</t>
        </is>
      </c>
    </row>
    <row r="20">
      <c r="B20" s="2" t="inlineStr">
        <is>
          <t>指标</t>
        </is>
      </c>
      <c r="C20" s="2" t="inlineStr">
        <is>
          <t>目标</t>
        </is>
      </c>
      <c r="D20" s="2" t="inlineStr">
        <is>
          <t>累计</t>
        </is>
      </c>
      <c r="E20" s="2" t="inlineStr">
        <is>
          <t>风险</t>
        </is>
      </c>
      <c r="F20" s="2" t="inlineStr">
        <is>
          <t>本周新增</t>
        </is>
      </c>
    </row>
    <row r="21">
      <c r="B21" s="7" t="inlineStr">
        <is>
          <t>[1] 灯塔厂签约</t>
        </is>
      </c>
      <c r="C21" s="10" t="inlineStr">
        <is>
          <t>目标 ≥ 3</t>
        </is>
      </c>
      <c r="D21" s="5" t="n"/>
      <c r="E21" s="5" t="n"/>
      <c r="F21" s="5" t="n"/>
    </row>
    <row r="22">
      <c r="B22" s="7" t="inlineStr">
        <is>
          <t>[2] 灯塔厂上线</t>
        </is>
      </c>
      <c r="C22" s="10" t="inlineStr">
        <is>
          <t>目标 ≥ 1</t>
        </is>
      </c>
      <c r="D22" s="5" t="n"/>
      <c r="E22" s="5" t="n"/>
      <c r="F22" s="5" t="n"/>
    </row>
    <row r="23">
      <c r="B23" s="7" t="inlineStr">
        <is>
          <t>[3] 老板局</t>
        </is>
      </c>
      <c r="C23" s="10" t="inlineStr">
        <is>
          <t>目标 ≥ 1</t>
        </is>
      </c>
      <c r="D23" s="5" t="n"/>
      <c r="E23" s="5" t="n"/>
      <c r="F23" s="5" t="n"/>
    </row>
    <row r="24">
      <c r="B24" s="7" t="inlineStr">
        <is>
          <t>[4] 月签（非灯塔）</t>
        </is>
      </c>
      <c r="C24" s="10" t="inlineStr">
        <is>
          <t>目标 ≥ 3</t>
        </is>
      </c>
      <c r="D24" s="5" t="n"/>
      <c r="E24" s="5" t="n"/>
      <c r="F24" s="5" t="n"/>
    </row>
    <row r="25">
      <c r="B25" s="7" t="inlineStr">
        <is>
          <t>[5] 累计回款</t>
        </is>
      </c>
      <c r="C25" s="10" t="inlineStr">
        <is>
          <t>目标 ≥ ¥30 万</t>
        </is>
      </c>
      <c r="D25" s="5" t="n"/>
      <c r="E25" s="5" t="n"/>
      <c r="F25" s="5" t="n"/>
    </row>
    <row r="27">
      <c r="B27" s="6" t="inlineStr">
        <is>
          <t>▼ 四、本周老板决策</t>
        </is>
      </c>
    </row>
    <row r="28">
      <c r="B28" s="4" t="inlineStr">
        <is>
          <t>决策</t>
        </is>
      </c>
      <c r="C28" s="9" t="n"/>
    </row>
    <row r="29">
      <c r="B29" s="4" t="inlineStr">
        <is>
          <t>责任人</t>
        </is>
      </c>
      <c r="C29" s="5" t="n"/>
      <c r="D29" s="4" t="inlineStr">
        <is>
          <t>截止日</t>
        </is>
      </c>
      <c r="E29" s="5" t="n"/>
      <c r="F29" s="5" t="n"/>
    </row>
    <row r="30">
      <c r="B30" s="4" t="inlineStr">
        <is>
          <t>预期结果</t>
        </is>
      </c>
      <c r="C30" s="9" t="n"/>
    </row>
    <row r="32">
      <c r="B32" s="6" t="inlineStr">
        <is>
          <t>▼ 五、上周决策回顾</t>
        </is>
      </c>
    </row>
    <row r="33">
      <c r="B33" s="4" t="inlineStr">
        <is>
          <t>上周决策</t>
        </is>
      </c>
      <c r="C33" s="9" t="n"/>
      <c r="F33" s="4" t="inlineStr">
        <is>
          <t>完成情况</t>
        </is>
      </c>
      <c r="G33" s="5" t="n"/>
    </row>
  </sheetData>
  <mergeCells count="22">
    <mergeCell ref="B2:G2"/>
    <mergeCell ref="C30:G30"/>
    <mergeCell ref="F29:G29"/>
    <mergeCell ref="B14:G14"/>
    <mergeCell ref="F16:G16"/>
    <mergeCell ref="F25:G25"/>
    <mergeCell ref="B19:G19"/>
    <mergeCell ref="F21:G21"/>
    <mergeCell ref="F24:G24"/>
    <mergeCell ref="F15:G15"/>
    <mergeCell ref="F20:G20"/>
    <mergeCell ref="D17:E17"/>
    <mergeCell ref="F17:G17"/>
    <mergeCell ref="B6:G6"/>
    <mergeCell ref="D16:E16"/>
    <mergeCell ref="F23:G23"/>
    <mergeCell ref="B32:G32"/>
    <mergeCell ref="F22:G22"/>
    <mergeCell ref="C33:E33"/>
    <mergeCell ref="D15:E15"/>
    <mergeCell ref="B27:G27"/>
    <mergeCell ref="C28:G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10" customWidth="1" min="26" max="26"/>
  </cols>
  <sheetData>
    <row r="1">
      <c r="A1" s="1" t="inlineStr">
        <is>
          <t>24 周数据看板（黄色 = 输入，绿色 = 自动累计）</t>
        </is>
      </c>
    </row>
    <row r="3" ht="32" customHeight="1">
      <c r="A3" s="2" t="inlineStr">
        <is>
          <t>指标</t>
        </is>
      </c>
      <c r="B3" s="2" t="inlineStr">
        <is>
          <t>W1
4/20</t>
        </is>
      </c>
      <c r="C3" s="2" t="inlineStr">
        <is>
          <t>W2
4/27</t>
        </is>
      </c>
      <c r="D3" s="2" t="inlineStr">
        <is>
          <t>W3
5/4</t>
        </is>
      </c>
      <c r="E3" s="2" t="inlineStr">
        <is>
          <t>W4
5/11</t>
        </is>
      </c>
      <c r="F3" s="2" t="inlineStr">
        <is>
          <t>W5
5/18</t>
        </is>
      </c>
      <c r="G3" s="2" t="inlineStr">
        <is>
          <t>W6
5/25</t>
        </is>
      </c>
      <c r="H3" s="2" t="inlineStr">
        <is>
          <t>W7
6/1</t>
        </is>
      </c>
      <c r="I3" s="2" t="inlineStr">
        <is>
          <t>W8
6/8</t>
        </is>
      </c>
      <c r="J3" s="2" t="inlineStr">
        <is>
          <t>W9
6/15</t>
        </is>
      </c>
      <c r="K3" s="2" t="inlineStr">
        <is>
          <t>W10
6/22</t>
        </is>
      </c>
      <c r="L3" s="2" t="inlineStr">
        <is>
          <t>W11
6/29</t>
        </is>
      </c>
      <c r="M3" s="2" t="inlineStr">
        <is>
          <t>W12
7/6</t>
        </is>
      </c>
      <c r="N3" s="2" t="inlineStr">
        <is>
          <t>W13
7/13</t>
        </is>
      </c>
      <c r="O3" s="2" t="inlineStr">
        <is>
          <t>W14
7/20</t>
        </is>
      </c>
      <c r="P3" s="2" t="inlineStr">
        <is>
          <t>W15
7/27</t>
        </is>
      </c>
      <c r="Q3" s="2" t="inlineStr">
        <is>
          <t>W16
8/3</t>
        </is>
      </c>
      <c r="R3" s="2" t="inlineStr">
        <is>
          <t>W17
8/10</t>
        </is>
      </c>
      <c r="S3" s="2" t="inlineStr">
        <is>
          <t>W18
8/17</t>
        </is>
      </c>
      <c r="T3" s="2" t="inlineStr">
        <is>
          <t>W19
8/24</t>
        </is>
      </c>
      <c r="U3" s="2" t="inlineStr">
        <is>
          <t>W20
8/31</t>
        </is>
      </c>
      <c r="V3" s="2" t="inlineStr">
        <is>
          <t>W21
9/7</t>
        </is>
      </c>
      <c r="W3" s="2" t="inlineStr">
        <is>
          <t>W22
9/14</t>
        </is>
      </c>
      <c r="X3" s="2" t="inlineStr">
        <is>
          <t>W23
9/21</t>
        </is>
      </c>
      <c r="Y3" s="2" t="inlineStr">
        <is>
          <t>W24
9/28</t>
        </is>
      </c>
      <c r="Z3" s="2" t="inlineStr">
        <is>
          <t>累计</t>
        </is>
      </c>
    </row>
    <row r="4">
      <c r="A4" s="7" t="inlineStr">
        <is>
          <t>新增线索数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11">
        <f>SUM(B4:Y4)</f>
        <v/>
      </c>
    </row>
    <row r="5">
      <c r="A5" s="7" t="inlineStr">
        <is>
          <t>新增 POC 数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11">
        <f>SUM(B5:Y5)</f>
        <v/>
      </c>
    </row>
    <row r="6">
      <c r="A6" s="7" t="inlineStr">
        <is>
          <t>新增签约数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11">
        <f>SUM(B6:Y6)</f>
        <v/>
      </c>
    </row>
    <row r="7">
      <c r="A7" s="7" t="inlineStr">
        <is>
          <t>当周回款（元）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3">
        <f>SUM(B7:Y7)</f>
        <v/>
      </c>
    </row>
    <row r="8">
      <c r="A8" s="7" t="inlineStr">
        <is>
          <t>新增合伙人数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11">
        <f>SUM(B8:Y8)</f>
        <v/>
      </c>
    </row>
    <row r="10">
      <c r="A10" s="14" t="inlineStr">
        <is>
          <t>── 月度小计（4 周）──</t>
        </is>
      </c>
    </row>
    <row r="12">
      <c r="A12" s="2" t="inlineStr">
        <is>
          <t>月度统计</t>
        </is>
      </c>
      <c r="B12" s="2" t="inlineStr">
        <is>
          <t>4 月（W1-W2）</t>
        </is>
      </c>
      <c r="C12" s="2" t="inlineStr">
        <is>
          <t>5 月（W3-W6）</t>
        </is>
      </c>
      <c r="D12" s="2" t="inlineStr">
        <is>
          <t>6 月（W7-W11）</t>
        </is>
      </c>
      <c r="E12" s="2" t="inlineStr">
        <is>
          <t>7 月（W12-W15）</t>
        </is>
      </c>
      <c r="F12" s="2" t="inlineStr">
        <is>
          <t>8 月（W16-W19）</t>
        </is>
      </c>
      <c r="G12" s="2" t="inlineStr">
        <is>
          <t>9 月（W20-W24）</t>
        </is>
      </c>
    </row>
    <row r="13">
      <c r="A13" s="7" t="inlineStr">
        <is>
          <t>新增线索数</t>
        </is>
      </c>
      <c r="B13" s="11">
        <f>SUM(B4:C4)</f>
        <v/>
      </c>
      <c r="C13" s="11">
        <f>SUM(D4:G4)</f>
        <v/>
      </c>
      <c r="D13" s="11">
        <f>SUM(H4:L4)</f>
        <v/>
      </c>
      <c r="E13" s="11">
        <f>SUM(M4:P4)</f>
        <v/>
      </c>
      <c r="F13" s="11">
        <f>SUM(Q4:T4)</f>
        <v/>
      </c>
      <c r="G13" s="11">
        <f>SUM(U4:Y4)</f>
        <v/>
      </c>
    </row>
    <row r="14">
      <c r="A14" s="7" t="inlineStr">
        <is>
          <t>新增 POC 数</t>
        </is>
      </c>
      <c r="B14" s="11">
        <f>SUM(B5:C5)</f>
        <v/>
      </c>
      <c r="C14" s="11">
        <f>SUM(D5:G5)</f>
        <v/>
      </c>
      <c r="D14" s="11">
        <f>SUM(H5:L5)</f>
        <v/>
      </c>
      <c r="E14" s="11">
        <f>SUM(M5:P5)</f>
        <v/>
      </c>
      <c r="F14" s="11">
        <f>SUM(Q5:T5)</f>
        <v/>
      </c>
      <c r="G14" s="11">
        <f>SUM(U5:Y5)</f>
        <v/>
      </c>
    </row>
    <row r="15">
      <c r="A15" s="7" t="inlineStr">
        <is>
          <t>新增签约数</t>
        </is>
      </c>
      <c r="B15" s="11">
        <f>SUM(B6:C6)</f>
        <v/>
      </c>
      <c r="C15" s="11">
        <f>SUM(D6:G6)</f>
        <v/>
      </c>
      <c r="D15" s="11">
        <f>SUM(H6:L6)</f>
        <v/>
      </c>
      <c r="E15" s="11">
        <f>SUM(M6:P6)</f>
        <v/>
      </c>
      <c r="F15" s="11">
        <f>SUM(Q6:T6)</f>
        <v/>
      </c>
      <c r="G15" s="11">
        <f>SUM(U6:Y6)</f>
        <v/>
      </c>
    </row>
    <row r="16">
      <c r="A16" s="7" t="inlineStr">
        <is>
          <t>当周回款（元）</t>
        </is>
      </c>
      <c r="B16" s="13">
        <f>SUM(B7:C7)</f>
        <v/>
      </c>
      <c r="C16" s="13">
        <f>SUM(D7:G7)</f>
        <v/>
      </c>
      <c r="D16" s="13">
        <f>SUM(H7:L7)</f>
        <v/>
      </c>
      <c r="E16" s="13">
        <f>SUM(M7:P7)</f>
        <v/>
      </c>
      <c r="F16" s="13">
        <f>SUM(Q7:T7)</f>
        <v/>
      </c>
      <c r="G16" s="13">
        <f>SUM(U7:Y7)</f>
        <v/>
      </c>
    </row>
    <row r="17">
      <c r="A17" s="7" t="inlineStr">
        <is>
          <t>新增合伙人数</t>
        </is>
      </c>
      <c r="B17" s="11">
        <f>SUM(B8:C8)</f>
        <v/>
      </c>
      <c r="C17" s="11">
        <f>SUM(D8:G8)</f>
        <v/>
      </c>
      <c r="D17" s="11">
        <f>SUM(H8:L8)</f>
        <v/>
      </c>
      <c r="E17" s="11">
        <f>SUM(M8:P8)</f>
        <v/>
      </c>
      <c r="F17" s="11">
        <f>SUM(Q8:T8)</f>
        <v/>
      </c>
      <c r="G17" s="11">
        <f>SUM(U8:Y8)</f>
        <v/>
      </c>
    </row>
  </sheetData>
  <mergeCells count="1">
    <mergeCell ref="A1:Z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28" customWidth="1" min="7" max="7"/>
  </cols>
  <sheetData>
    <row r="2">
      <c r="B2" s="1" t="inlineStr">
        <is>
          <t>6 月生死线 5 项进度（自动累计 + 风险评级）</t>
        </is>
      </c>
    </row>
    <row r="4">
      <c r="B4" s="2" t="inlineStr">
        <is>
          <t>指标</t>
        </is>
      </c>
      <c r="C4" s="2" t="inlineStr">
        <is>
          <t>目标值</t>
        </is>
      </c>
      <c r="D4" s="2" t="inlineStr">
        <is>
          <t>当前累计</t>
        </is>
      </c>
      <c r="E4" s="2" t="inlineStr">
        <is>
          <t>达成 %</t>
        </is>
      </c>
      <c r="F4" s="2" t="inlineStr">
        <is>
          <t>风险等级</t>
        </is>
      </c>
      <c r="G4" s="2" t="inlineStr">
        <is>
          <t>未达成对策</t>
        </is>
      </c>
    </row>
    <row r="5">
      <c r="B5" s="7" t="inlineStr">
        <is>
          <t>[1] 灯塔厂签约（≥ 3）</t>
        </is>
      </c>
      <c r="C5" s="11" t="n">
        <v>3</v>
      </c>
      <c r="D5" s="5" t="n">
        <v>0</v>
      </c>
      <c r="E5" s="15">
        <f>IFERROR(D5/C5,0)</f>
        <v/>
      </c>
      <c r="F5" s="16">
        <f>IF(E5&gt;=1,"🟢 达成",IF(E5&gt;=0.5,"🟡 警示","🔴 危险"))</f>
        <v/>
      </c>
      <c r="G5" s="3" t="inlineStr">
        <is>
          <t>调整价格 / 实施资源 / 灯塔筛选</t>
        </is>
      </c>
    </row>
    <row r="6">
      <c r="B6" s="7" t="inlineStr">
        <is>
          <t>[2] 灯塔厂上线见效（≥ 1）</t>
        </is>
      </c>
      <c r="C6" s="11" t="n">
        <v>1</v>
      </c>
      <c r="D6" s="5" t="n">
        <v>0</v>
      </c>
      <c r="E6" s="15">
        <f>IFERROR(D6/C6,0)</f>
        <v/>
      </c>
      <c r="F6" s="16">
        <f>IF(E6&gt;=1,"🟢 达成",IF(E6&gt;=0.5,"🟡 警示","🔴 危险"))</f>
        <v/>
      </c>
      <c r="G6" s="3" t="inlineStr">
        <is>
          <t>CTO 必须亲自上阵第 2 家</t>
        </is>
      </c>
    </row>
    <row r="7">
      <c r="B7" s="7" t="inlineStr">
        <is>
          <t>[3] 老板局举办（≥ 1）</t>
        </is>
      </c>
      <c r="C7" s="11" t="n">
        <v>1</v>
      </c>
      <c r="D7" s="5" t="n">
        <v>0</v>
      </c>
      <c r="E7" s="15">
        <f>IFERROR(D7/C7,0)</f>
        <v/>
      </c>
      <c r="F7" s="16">
        <f>IF(E7&gt;=1,"🟢 达成",IF(E7&gt;=0.5,"🟡 警示","🔴 危险"))</f>
        <v/>
      </c>
      <c r="G7" s="3" t="inlineStr">
        <is>
          <t>立刻办，不再等</t>
        </is>
      </c>
    </row>
    <row r="8">
      <c r="B8" s="7" t="inlineStr">
        <is>
          <t>[4] 月签客户（≥ 3）</t>
        </is>
      </c>
      <c r="C8" s="11" t="n">
        <v>3</v>
      </c>
      <c r="D8" s="5" t="n">
        <v>0</v>
      </c>
      <c r="E8" s="15">
        <f>IFERROR(D8/C8,0)</f>
        <v/>
      </c>
      <c r="F8" s="16">
        <f>IF(E8&gt;=1,"🟢 达成",IF(E8&gt;=0.5,"🟡 警示","🔴 危险"))</f>
        <v/>
      </c>
      <c r="G8" s="3" t="inlineStr">
        <is>
          <t>复盘销售铁三角 + SOP 落地度</t>
        </is>
      </c>
    </row>
    <row r="9">
      <c r="B9" s="7" t="inlineStr">
        <is>
          <t>[5] 累计回款（≥ ¥30 万）</t>
        </is>
      </c>
      <c r="C9" s="13" t="n">
        <v>300000</v>
      </c>
      <c r="D9" s="12" t="n">
        <v>0</v>
      </c>
      <c r="E9" s="15">
        <f>IFERROR(D9/C9,0)</f>
        <v/>
      </c>
      <c r="F9" s="16">
        <f>IF(E9&gt;=1,"🟢 达成",IF(E9&gt;=0.5,"🟡 警示","🔴 危险"))</f>
        <v/>
      </c>
      <c r="G9" s="3" t="inlineStr">
        <is>
          <t>现金流告急 → 启动 Plan C</t>
        </is>
      </c>
    </row>
  </sheetData>
  <mergeCells count="1">
    <mergeCell ref="B2:G2"/>
  </mergeCells>
  <conditionalFormatting sqref="F5:F9">
    <cfRule type="cellIs" priority="1" operator="containsText" dxfId="0">
      <formula>"达成"</formula>
    </cfRule>
    <cfRule type="cellIs" priority="2" operator="containsText" dxfId="1">
      <formula>"警示"</formula>
    </cfRule>
    <cfRule type="cellIs" priority="3" operator="containsText" dxfId="2">
      <formula>"危险"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月度战报（6 个月汇总）</t>
        </is>
      </c>
    </row>
    <row r="3">
      <c r="A3" s="2" t="inlineStr">
        <is>
          <t>指标</t>
        </is>
      </c>
      <c r="B3" s="2" t="inlineStr">
        <is>
          <t>4 月</t>
        </is>
      </c>
      <c r="C3" s="2" t="inlineStr">
        <is>
          <t>5 月</t>
        </is>
      </c>
      <c r="D3" s="2" t="inlineStr">
        <is>
          <t>6 月</t>
        </is>
      </c>
      <c r="E3" s="2" t="inlineStr">
        <is>
          <t>7 月</t>
        </is>
      </c>
      <c r="F3" s="2" t="inlineStr">
        <is>
          <t>8 月</t>
        </is>
      </c>
      <c r="G3" s="2" t="inlineStr">
        <is>
          <t>9 月</t>
        </is>
      </c>
      <c r="H3" s="2" t="inlineStr">
        <is>
          <t>6 月累计</t>
        </is>
      </c>
    </row>
    <row r="4">
      <c r="A4" s="7" t="inlineStr">
        <is>
          <t>新增线索</t>
        </is>
      </c>
      <c r="B4" s="5" t="n"/>
      <c r="C4" s="5" t="n"/>
      <c r="D4" s="5" t="n"/>
      <c r="E4" s="5" t="n"/>
      <c r="F4" s="5" t="n"/>
      <c r="G4" s="5" t="n"/>
      <c r="H4" s="11">
        <f>SUM(B4:G4)</f>
        <v/>
      </c>
    </row>
    <row r="5">
      <c r="A5" s="7" t="inlineStr">
        <is>
          <t>新增 POC</t>
        </is>
      </c>
      <c r="B5" s="5" t="n"/>
      <c r="C5" s="5" t="n"/>
      <c r="D5" s="5" t="n"/>
      <c r="E5" s="5" t="n"/>
      <c r="F5" s="5" t="n"/>
      <c r="G5" s="5" t="n"/>
      <c r="H5" s="11">
        <f>SUM(B5:G5)</f>
        <v/>
      </c>
    </row>
    <row r="6">
      <c r="A6" s="7" t="inlineStr">
        <is>
          <t>新增签约</t>
        </is>
      </c>
      <c r="B6" s="5" t="n"/>
      <c r="C6" s="5" t="n"/>
      <c r="D6" s="5" t="n"/>
      <c r="E6" s="5" t="n"/>
      <c r="F6" s="5" t="n"/>
      <c r="G6" s="5" t="n"/>
      <c r="H6" s="11">
        <f>SUM(B6:G6)</f>
        <v/>
      </c>
    </row>
    <row r="7">
      <c r="A7" s="7" t="inlineStr">
        <is>
          <t>当月回款</t>
        </is>
      </c>
      <c r="B7" s="12" t="n"/>
      <c r="C7" s="12" t="n"/>
      <c r="D7" s="12" t="n"/>
      <c r="E7" s="12" t="n"/>
      <c r="F7" s="12" t="n"/>
      <c r="G7" s="12" t="n"/>
      <c r="H7" s="13">
        <f>SUM(B7:G7)</f>
        <v/>
      </c>
    </row>
    <row r="8">
      <c r="A8" s="7" t="inlineStr">
        <is>
          <t>新增合伙人</t>
        </is>
      </c>
      <c r="B8" s="5" t="n"/>
      <c r="C8" s="5" t="n"/>
      <c r="D8" s="5" t="n"/>
      <c r="E8" s="5" t="n"/>
      <c r="F8" s="5" t="n"/>
      <c r="G8" s="5" t="n"/>
      <c r="H8" s="11">
        <f>SUM(B8:G8)</f>
        <v/>
      </c>
    </row>
    <row r="9">
      <c r="A9" s="7" t="inlineStr">
        <is>
          <t>灯塔厂签约（累计）</t>
        </is>
      </c>
      <c r="B9" s="5" t="n"/>
      <c r="C9" s="5" t="n"/>
      <c r="D9" s="5" t="n"/>
      <c r="E9" s="5" t="n"/>
      <c r="F9" s="5" t="n"/>
      <c r="G9" s="5" t="n"/>
      <c r="H9" s="11">
        <f>SUM(B9:G9)</f>
        <v/>
      </c>
    </row>
    <row r="10">
      <c r="A10" s="7" t="inlineStr">
        <is>
          <t>灯塔厂上线（累计）</t>
        </is>
      </c>
      <c r="B10" s="5" t="n"/>
      <c r="C10" s="5" t="n"/>
      <c r="D10" s="5" t="n"/>
      <c r="E10" s="5" t="n"/>
      <c r="F10" s="5" t="n"/>
      <c r="G10" s="5" t="n"/>
      <c r="H10" s="11">
        <f>SUM(B10:G10)</f>
        <v/>
      </c>
    </row>
    <row r="11">
      <c r="A11" s="7" t="inlineStr">
        <is>
          <t>老板局场次（累计）</t>
        </is>
      </c>
      <c r="B11" s="5" t="n"/>
      <c r="C11" s="5" t="n"/>
      <c r="D11" s="5" t="n"/>
      <c r="E11" s="5" t="n"/>
      <c r="F11" s="5" t="n"/>
      <c r="G11" s="5" t="n"/>
      <c r="H11" s="11">
        <f>SUM(B11:G11)</f>
        <v/>
      </c>
    </row>
    <row r="13">
      <c r="A13" s="17" t="inlineStr">
        <is>
          <t>月度自评（A/B/C）</t>
        </is>
      </c>
      <c r="B13" s="16" t="n"/>
      <c r="C13" s="16" t="n"/>
      <c r="D13" s="16" t="n"/>
      <c r="E13" s="16" t="n"/>
      <c r="F13" s="16" t="n"/>
      <c r="G13" s="16" t="n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2" customWidth="1" min="3" max="3"/>
    <col width="12" customWidth="1" min="4" max="4"/>
    <col width="14" customWidth="1" min="5" max="5"/>
    <col width="28" customWidth="1" min="6" max="6"/>
  </cols>
  <sheetData>
    <row r="2">
      <c r="B2" s="1" t="inlineStr">
        <is>
          <t>W6 中期评估（5 月底，看是否需要提前干预）</t>
        </is>
      </c>
    </row>
    <row r="4">
      <c r="B4" s="2" t="inlineStr">
        <is>
          <t>指标</t>
        </is>
      </c>
      <c r="C4" s="2" t="inlineStr">
        <is>
          <t>W6 应达成</t>
        </is>
      </c>
      <c r="D4" s="2" t="inlineStr">
        <is>
          <t>我的实际</t>
        </is>
      </c>
      <c r="E4" s="2" t="inlineStr">
        <is>
          <t>是否预警</t>
        </is>
      </c>
      <c r="F4" s="2" t="inlineStr">
        <is>
          <t>应对措施</t>
        </is>
      </c>
    </row>
    <row r="5">
      <c r="B5" s="7" t="inlineStr">
        <is>
          <t>灯塔厂候选拜访</t>
        </is>
      </c>
      <c r="C5" s="11" t="inlineStr">
        <is>
          <t>≥ 16 家</t>
        </is>
      </c>
      <c r="D5" s="5" t="n"/>
      <c r="E5" s="5" t="n"/>
      <c r="F5" s="3" t="inlineStr">
        <is>
          <t>调整销售总监工作分配</t>
        </is>
      </c>
    </row>
    <row r="6">
      <c r="B6" s="7" t="inlineStr">
        <is>
          <t>灯塔厂签约 POC</t>
        </is>
      </c>
      <c r="C6" s="11" t="inlineStr">
        <is>
          <t>≥ 1 家</t>
        </is>
      </c>
      <c r="D6" s="5" t="n"/>
      <c r="E6" s="5" t="n"/>
      <c r="F6" s="3" t="inlineStr">
        <is>
          <t>老板亲自跑 + 价格让到 5 折</t>
        </is>
      </c>
    </row>
    <row r="7">
      <c r="B7" s="7" t="inlineStr">
        <is>
          <t>灯塔厂部署完成</t>
        </is>
      </c>
      <c r="C7" s="11" t="inlineStr">
        <is>
          <t>≥ 1 家</t>
        </is>
      </c>
      <c r="D7" s="5" t="n"/>
      <c r="E7" s="5" t="n"/>
      <c r="F7" s="3" t="inlineStr">
        <is>
          <t>CTO 亲自上阵 + 实施加资源</t>
        </is>
      </c>
    </row>
    <row r="8">
      <c r="B8" s="7" t="inlineStr">
        <is>
          <t>累计合伙人</t>
        </is>
      </c>
      <c r="C8" s="11" t="inlineStr">
        <is>
          <t>≥ 8 个</t>
        </is>
      </c>
      <c r="D8" s="5" t="n"/>
      <c r="E8" s="5" t="n"/>
      <c r="F8" s="3" t="inlineStr">
        <is>
          <t>销售总监个人 KPI 加合伙人项</t>
        </is>
      </c>
    </row>
    <row r="9">
      <c r="B9" s="7" t="inlineStr">
        <is>
          <t>累计线索</t>
        </is>
      </c>
      <c r="C9" s="11" t="inlineStr">
        <is>
          <t>≥ 200 条</t>
        </is>
      </c>
      <c r="D9" s="5" t="n"/>
      <c r="E9" s="5" t="n"/>
      <c r="F9" s="3" t="inlineStr">
        <is>
          <t>加大地推 / 内容 / 老板局密度</t>
        </is>
      </c>
    </row>
    <row r="12">
      <c r="B12" s="6" t="inlineStr">
        <is>
          <t>★ W6 决策矩阵</t>
        </is>
      </c>
    </row>
    <row r="13">
      <c r="B13" s="2" t="inlineStr">
        <is>
          <t>达成数</t>
        </is>
      </c>
      <c r="C13" s="2" t="inlineStr">
        <is>
          <t>评估</t>
        </is>
      </c>
      <c r="D13" s="2" t="inlineStr">
        <is>
          <t>行动</t>
        </is>
      </c>
    </row>
    <row r="14">
      <c r="B14" s="11" t="inlineStr">
        <is>
          <t>5/5 达成</t>
        </is>
      </c>
      <c r="C14" s="11" t="inlineStr">
        <is>
          <t>优秀</t>
        </is>
      </c>
      <c r="D14" s="18" t="inlineStr">
        <is>
          <t>加速节奏，考虑 Plan B</t>
        </is>
      </c>
    </row>
    <row r="15">
      <c r="B15" s="4" t="inlineStr">
        <is>
          <t>4/5 达成</t>
        </is>
      </c>
      <c r="C15" s="4" t="inlineStr">
        <is>
          <t>健康</t>
        </is>
      </c>
      <c r="D15" s="19" t="inlineStr">
        <is>
          <t>Plan A 续打，强化最弱项</t>
        </is>
      </c>
    </row>
    <row r="16">
      <c r="B16" s="20" t="inlineStr">
        <is>
          <t>3/5 达成</t>
        </is>
      </c>
      <c r="C16" s="20" t="inlineStr">
        <is>
          <t>警示</t>
        </is>
      </c>
      <c r="D16" s="21" t="inlineStr">
        <is>
          <t>立刻投入老板 80% 时间</t>
        </is>
      </c>
    </row>
    <row r="17">
      <c r="B17" s="22" t="inlineStr">
        <is>
          <t>≤ 2/5</t>
        </is>
      </c>
      <c r="C17" s="22" t="inlineStr">
        <is>
          <t>危险</t>
        </is>
      </c>
      <c r="D17" s="23" t="inlineStr">
        <is>
          <t>暂停扩张，重新对齐打法</t>
        </is>
      </c>
    </row>
  </sheetData>
  <mergeCells count="7">
    <mergeCell ref="B12:F12"/>
    <mergeCell ref="D13:F13"/>
    <mergeCell ref="D14:F14"/>
    <mergeCell ref="B2:F2"/>
    <mergeCell ref="D17:F17"/>
    <mergeCell ref="D15:F15"/>
    <mergeCell ref="D16:F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22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14" customWidth="1" min="4" max="4"/>
    <col width="14" customWidth="1" min="5" max="5"/>
    <col width="28" customWidth="1" min="6" max="6"/>
  </cols>
  <sheetData>
    <row r="2">
      <c r="B2" s="1" t="inlineStr">
        <is>
          <t>W12 生死线评估（2026.07.06 决策会）</t>
        </is>
      </c>
    </row>
    <row r="4">
      <c r="B4" s="2" t="inlineStr">
        <is>
          <t>KPI</t>
        </is>
      </c>
      <c r="C4" s="2" t="inlineStr">
        <is>
          <t>目标</t>
        </is>
      </c>
      <c r="D4" s="2" t="inlineStr">
        <is>
          <t>实际</t>
        </is>
      </c>
      <c r="E4" s="2" t="inlineStr">
        <is>
          <t>达成</t>
        </is>
      </c>
      <c r="F4" s="2" t="inlineStr">
        <is>
          <t>等级</t>
        </is>
      </c>
    </row>
    <row r="5">
      <c r="B5" s="7" t="inlineStr">
        <is>
          <t>灯塔厂签约</t>
        </is>
      </c>
      <c r="C5" s="11" t="n">
        <v>3</v>
      </c>
      <c r="D5" s="5" t="n">
        <v>0</v>
      </c>
      <c r="E5" s="15">
        <f>IFERROR(D5/C5,0)</f>
        <v/>
      </c>
      <c r="F5" s="16">
        <f>IF(E5&gt;=0.8,"S 达成",IF(E5&gt;=0.5,"A 警示","B 危险"))</f>
        <v/>
      </c>
    </row>
    <row r="6">
      <c r="B6" s="7" t="inlineStr">
        <is>
          <t>灯塔厂上线</t>
        </is>
      </c>
      <c r="C6" s="11" t="n">
        <v>1</v>
      </c>
      <c r="D6" s="5" t="n">
        <v>0</v>
      </c>
      <c r="E6" s="15">
        <f>IFERROR(D6/C6,0)</f>
        <v/>
      </c>
      <c r="F6" s="16">
        <f>IF(E6&gt;=0.8,"S 达成",IF(E6&gt;=0.5,"A 警示","B 危险"))</f>
        <v/>
      </c>
    </row>
    <row r="7">
      <c r="B7" s="7" t="inlineStr">
        <is>
          <t>老板局举办</t>
        </is>
      </c>
      <c r="C7" s="11" t="n">
        <v>1</v>
      </c>
      <c r="D7" s="5" t="n">
        <v>0</v>
      </c>
      <c r="E7" s="15">
        <f>IFERROR(D7/C7,0)</f>
        <v/>
      </c>
      <c r="F7" s="16">
        <f>IF(E7&gt;=0.8,"S 达成",IF(E7&gt;=0.5,"A 警示","B 危险"))</f>
        <v/>
      </c>
    </row>
    <row r="8">
      <c r="B8" s="7" t="inlineStr">
        <is>
          <t>月签（非灯塔）</t>
        </is>
      </c>
      <c r="C8" s="11" t="n">
        <v>3</v>
      </c>
      <c r="D8" s="5" t="n">
        <v>0</v>
      </c>
      <c r="E8" s="15">
        <f>IFERROR(D8/C8,0)</f>
        <v/>
      </c>
      <c r="F8" s="16">
        <f>IF(E8&gt;=0.8,"S 达成",IF(E8&gt;=0.5,"A 警示","B 危险"))</f>
        <v/>
      </c>
    </row>
    <row r="9">
      <c r="B9" s="7" t="inlineStr">
        <is>
          <t>累计回款（万）</t>
        </is>
      </c>
      <c r="C9" s="11" t="n">
        <v>30</v>
      </c>
      <c r="D9" s="5" t="n">
        <v>0</v>
      </c>
      <c r="E9" s="15">
        <f>IFERROR(D9/C9,0)</f>
        <v/>
      </c>
      <c r="F9" s="16">
        <f>IF(E9&gt;=0.8,"S 达成",IF(E9&gt;=0.5,"A 警示","B 危险"))</f>
        <v/>
      </c>
    </row>
    <row r="11">
      <c r="B11" s="6" t="inlineStr">
        <is>
          <t>★ 总体决策（圈出 1 个）</t>
        </is>
      </c>
    </row>
    <row r="12">
      <c r="B12" s="11" t="inlineStr">
        <is>
          <t>达成 ≥ 80%</t>
        </is>
      </c>
      <c r="C12" s="24" t="inlineStr">
        <is>
          <t>Plan A 续打 / 加速到 Plan B</t>
        </is>
      </c>
    </row>
    <row r="13">
      <c r="B13" s="20" t="inlineStr">
        <is>
          <t>达成 50-80%</t>
        </is>
      </c>
      <c r="C13" s="25" t="inlineStr">
        <is>
          <t>Plan A 续打 + 调整短板</t>
        </is>
      </c>
    </row>
    <row r="14">
      <c r="B14" s="22" t="inlineStr">
        <is>
          <t>达成 &lt; 50%</t>
        </is>
      </c>
      <c r="C14" s="26" t="inlineStr">
        <is>
          <t>立刻转 Plan C 聚焦</t>
        </is>
      </c>
    </row>
    <row r="15">
      <c r="B15" s="22" t="inlineStr">
        <is>
          <t>达成 &lt; 30%</t>
        </is>
      </c>
      <c r="C15" s="26" t="inlineStr">
        <is>
          <t>回头看产品/价格/客群定位（不是营销问题）</t>
        </is>
      </c>
    </row>
    <row r="17">
      <c r="B17" s="6" t="inlineStr">
        <is>
          <t>★ 红线条款（触发即执行）</t>
        </is>
      </c>
    </row>
    <row r="18">
      <c r="B18" s="26" t="inlineStr">
        <is>
          <t>立刻换销售总监</t>
        </is>
      </c>
      <c r="C18" s="21" t="inlineStr">
        <is>
          <t>该总监 12 周 0 签约 + 0 灯塔厂</t>
        </is>
      </c>
    </row>
    <row r="19">
      <c r="B19" s="26" t="inlineStr">
        <is>
          <t>立刻换 CMO（如已有）</t>
        </is>
      </c>
      <c r="C19" s="21" t="inlineStr">
        <is>
          <t>CMO 6 月 KPI &lt; 60%</t>
        </is>
      </c>
    </row>
    <row r="20">
      <c r="B20" s="26" t="inlineStr">
        <is>
          <t>立刻启动融资</t>
        </is>
      </c>
      <c r="C20" s="21" t="inlineStr">
        <is>
          <t>现金 &lt; 3 月运营成本</t>
        </is>
      </c>
    </row>
    <row r="21">
      <c r="B21" s="26" t="inlineStr">
        <is>
          <t>立刻关 1 个客群</t>
        </is>
      </c>
      <c r="C21" s="21" t="inlineStr">
        <is>
          <t>该客群 12 周 0 签约</t>
        </is>
      </c>
    </row>
    <row r="22">
      <c r="B22" s="26" t="inlineStr">
        <is>
          <t>立刻关 1 个城市</t>
        </is>
      </c>
      <c r="C22" s="21" t="inlineStr">
        <is>
          <t>该城市无销售产出</t>
        </is>
      </c>
    </row>
  </sheetData>
  <mergeCells count="12">
    <mergeCell ref="C13:F13"/>
    <mergeCell ref="C22:F22"/>
    <mergeCell ref="C18:F18"/>
    <mergeCell ref="B2:F2"/>
    <mergeCell ref="B11:F11"/>
    <mergeCell ref="C12:F12"/>
    <mergeCell ref="C20:F20"/>
    <mergeCell ref="C21:F21"/>
    <mergeCell ref="C15:F15"/>
    <mergeCell ref="C19:F19"/>
    <mergeCell ref="B17:F17"/>
    <mergeCell ref="C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2026-04-19T01:15:20Z</dcterms:created>
  <dcterms:modified xsi:type="dcterms:W3CDTF">2026-04-19T01:15:20Z</dcterms:modified>
</cp:coreProperties>
</file>