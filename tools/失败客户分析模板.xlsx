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失败客户登记表" sheetId="2" state="visible" r:id="rId2"/>
    <sheet name="7大类型分布" sheetId="3" state="visible" r:id="rId3"/>
    <sheet name="销售个人失败分析" sheetId="4" state="visible" r:id="rId4"/>
    <sheet name="产品价格分析" sheetId="5" state="visible" r:id="rId5"/>
    <sheet name="流程改进追踪" sheetId="6" state="visible" r:id="rId6"/>
    <sheet name="月度复盘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8">
    <dxf>
      <fill>
        <patternFill patternType="solid">
          <fgColor rgb="00FFC000"/>
        </patternFill>
      </fill>
    </dxf>
    <dxf>
      <fill>
        <patternFill patternType="solid">
          <fgColor rgb="00FF8C00"/>
        </patternFill>
      </fill>
    </dxf>
    <dxf>
      <fill>
        <patternFill patternType="solid">
          <fgColor rgb="00FF6B6B"/>
        </patternFill>
      </fill>
    </dxf>
    <dxf>
      <fill>
        <patternFill patternType="solid">
          <fgColor rgb="009966CC"/>
        </patternFill>
      </fill>
    </dxf>
    <dxf>
      <fill>
        <patternFill patternType="solid">
          <fgColor rgb="00FFB6C1"/>
        </patternFill>
      </fill>
    </dxf>
    <dxf>
      <fill>
        <patternFill patternType="solid">
          <fgColor rgb="00808080"/>
        </patternFill>
      </fill>
    </dxf>
    <dxf>
      <fill>
        <patternFill patternType="solid">
          <fgColor rgb="005B9BD5"/>
        </patternFill>
      </fill>
    </dxf>
    <dxf>
      <fill>
        <patternFill patternType="solid">
          <f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2">
      <c r="B2" s="1" t="inlineStr">
        <is>
          <t>失败客户分析数据模板</t>
        </is>
      </c>
    </row>
    <row r="4" ht="60" customHeight="1">
      <c r="B4" s="2" t="inlineStr">
        <is>
          <t>适用对象</t>
        </is>
      </c>
      <c r="C4" s="3" t="inlineStr">
        <is>
          <t>销售总监 + CS 总监 + 老板</t>
        </is>
      </c>
    </row>
    <row r="5" ht="92" customHeight="1">
      <c r="B5" s="2" t="inlineStr">
        <is>
          <t>使用步骤</t>
        </is>
      </c>
      <c r="C5" s="3" t="inlineStr">
        <is>
          <t>① 每个失败客户填『失败客户登记表』黄色单元格
② 切换『7 大类型分布』自动统计
③ 切换『销售个人失败分析』看哪个销售问题大
④ 切换『产品价格分析』看产品问题
⑤ 切换『流程改进追踪』管理改进动作
⑥ 切换『月度复盘』看趋势</t>
        </is>
      </c>
    </row>
    <row r="6" ht="102.4" customHeight="1">
      <c r="B6" s="2" t="inlineStr">
        <is>
          <t>关键概念</t>
        </is>
      </c>
      <c r="C6" s="3" t="inlineStr">
        <is>
          <t>7 大失败类型：
A. 时机型（25%）- 不是时候
B. 价格型（20%）- 嫌贵
C. 价值型（15%）- 没听懂
D. 关系型（12%）- 决策人变
E. 信任型（10%）- 怕失败
F. 竞品型（8%）- 竞品锁
G. 内部型（10%）- 团队反对</t>
        </is>
      </c>
    </row>
    <row r="7" ht="60" customHeight="1">
      <c r="B7" s="2" t="inlineStr">
        <is>
          <t>分析频次</t>
        </is>
      </c>
      <c r="C7" s="3" t="inlineStr">
        <is>
          <t>每周 1 次：销售总监审核新增失败客户
每月 1 次：老板 + 全员复盘
每季度 1 次：产品 + 销售 + CS 三方深度复盘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4" customWidth="1" min="9" max="9"/>
    <col width="30" customWidth="1" min="10" max="10"/>
    <col width="14" customWidth="1" min="11" max="11"/>
    <col width="30" customWidth="1" min="12" max="12"/>
    <col width="12" customWidth="1" min="13" max="13"/>
  </cols>
  <sheetData>
    <row r="1">
      <c r="A1" s="1" t="inlineStr">
        <is>
          <t>失败客户登记表（黄色=输入，绿色=自动）</t>
        </is>
      </c>
    </row>
    <row r="3" ht="32" customHeight="1">
      <c r="A3" s="2" t="inlineStr">
        <is>
          <t>#</t>
        </is>
      </c>
      <c r="B3" s="2" t="inlineStr">
        <is>
          <t>段</t>
        </is>
      </c>
      <c r="C3" s="2" t="inlineStr">
        <is>
          <t>客户名</t>
        </is>
      </c>
      <c r="D3" s="2" t="inlineStr">
        <is>
          <t>负责销售</t>
        </is>
      </c>
      <c r="E3" s="2" t="inlineStr">
        <is>
          <t>失败日期</t>
        </is>
      </c>
      <c r="F3" s="2" t="inlineStr">
        <is>
          <t>失败类型</t>
        </is>
      </c>
      <c r="G3" s="2" t="inlineStr">
        <is>
          <t>接触次数</t>
        </is>
      </c>
      <c r="H3" s="2" t="inlineStr">
        <is>
          <t>拜访次数</t>
        </is>
      </c>
      <c r="I3" s="2" t="inlineStr">
        <is>
          <t>最大反对意见</t>
        </is>
      </c>
      <c r="J3" s="2" t="inlineStr">
        <is>
          <t>销售自评（错的事）</t>
        </is>
      </c>
      <c r="K3" s="2" t="inlineStr">
        <is>
          <t>客户访谈日期</t>
        </is>
      </c>
      <c r="L3" s="2" t="inlineStr">
        <is>
          <t>客户原话</t>
        </is>
      </c>
      <c r="M3" s="2" t="inlineStr">
        <is>
          <t>处置</t>
        </is>
      </c>
    </row>
    <row r="4">
      <c r="A4" s="4" t="n">
        <v>1</v>
      </c>
      <c r="B4" s="5" t="inlineStr">
        <is>
          <t>A</t>
        </is>
      </c>
      <c r="C4" s="5" t="inlineStr">
        <is>
          <t>邯郸 XX 钢贸</t>
        </is>
      </c>
      <c r="D4" s="5" t="inlineStr">
        <is>
          <t>B1</t>
        </is>
      </c>
      <c r="E4" s="5" t="inlineStr">
        <is>
          <t>2026-06-20</t>
        </is>
      </c>
      <c r="F4" s="5" t="inlineStr">
        <is>
          <t>B价格</t>
        </is>
      </c>
      <c r="G4" s="5" t="n">
        <v>3</v>
      </c>
      <c r="H4" s="5" t="n">
        <v>2</v>
      </c>
      <c r="I4" s="5" t="inlineStr">
        <is>
          <t>竞品价格便宜 40%</t>
        </is>
      </c>
      <c r="J4" s="5" t="inlineStr">
        <is>
          <t>没讲清楚价值故事</t>
        </is>
      </c>
      <c r="K4" s="5" t="inlineStr">
        <is>
          <t>2026-06-22</t>
        </is>
      </c>
      <c r="L4" s="5" t="inlineStr">
        <is>
          <t>你们贵但我没看到值多少</t>
        </is>
      </c>
      <c r="M4" s="5" t="inlineStr">
        <is>
          <t>降低期望换签</t>
        </is>
      </c>
    </row>
    <row r="5">
      <c r="A5" s="4" t="n">
        <v>2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4" t="n">
        <v>3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4" t="n">
        <v>4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4" t="n">
        <v>5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4" t="n">
        <v>6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4" t="n">
        <v>7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4" t="n">
        <v>8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4" t="n">
        <v>9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4" t="n">
        <v>10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4" t="n">
        <v>11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4" t="n">
        <v>12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4" t="n">
        <v>13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4" t="n">
        <v>14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4" t="n">
        <v>15</v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4" t="n">
        <v>16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4" t="n">
        <v>17</v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4" t="n">
        <v>18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4" t="n">
        <v>19</v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4" t="n">
        <v>20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4" t="n">
        <v>21</v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4" t="n">
        <v>22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4" t="n">
        <v>23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4" t="n">
        <v>24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4" t="n">
        <v>25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4" t="n">
        <v>26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4" t="n">
        <v>27</v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4" t="n">
        <v>28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4" t="n">
        <v>29</v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4" t="n">
        <v>30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</sheetData>
  <mergeCells count="1">
    <mergeCell ref="A1:M1"/>
  </mergeCells>
  <conditionalFormatting sqref="F4:F33">
    <cfRule type="cellIs" priority="1" operator="containsText" dxfId="0">
      <formula>"A"</formula>
    </cfRule>
    <cfRule type="cellIs" priority="2" operator="containsText" dxfId="1">
      <formula>"B"</formula>
    </cfRule>
    <cfRule type="cellIs" priority="3" operator="containsText" dxfId="2">
      <formula>"C"</formula>
    </cfRule>
    <cfRule type="cellIs" priority="4" operator="containsText" dxfId="3">
      <formula>"D"</formula>
    </cfRule>
    <cfRule type="cellIs" priority="5" operator="containsText" dxfId="4">
      <formula>"E"</formula>
    </cfRule>
    <cfRule type="cellIs" priority="6" operator="containsText" dxfId="5">
      <formula>"F"</formula>
    </cfRule>
    <cfRule type="cellIs" priority="7" operator="containsText" dxfId="6">
      <formula>"G"</formula>
    </cfRule>
  </conditionalFormatting>
  <dataValidations count="4">
    <dataValidation sqref="B4:B33" showDropDown="0" showInputMessage="0" showErrorMessage="0" allowBlank="1" type="list">
      <formula1>"S,A,B,C"</formula1>
    </dataValidation>
    <dataValidation sqref="F4:F33" showDropDown="0" showInputMessage="0" showErrorMessage="0" allowBlank="1" type="list">
      <formula1>"A时机,B价格,C价值,D关系,E信任,F竞品,G内部"</formula1>
    </dataValidation>
    <dataValidation sqref="M4:M33" showDropDown="0" showInputMessage="0" showErrorMessage="0" allowBlank="1" type="list">
      <formula1>"6月再启动,降低期望换签,彻底放弃"</formula1>
    </dataValidation>
    <dataValidation sqref="D4:D33" showDropDown="0" showInputMessage="0" showErrorMessage="0" allowBlank="1" type="list">
      <formula1>"A1,A2,A3,B1,B2,B3,C1,C2,C3"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12" customWidth="1" min="4" max="4"/>
    <col width="30" customWidth="1" min="5" max="5"/>
  </cols>
  <sheetData>
    <row r="2">
      <c r="B2" s="1" t="inlineStr">
        <is>
          <t>7 大失败类型自动统计</t>
        </is>
      </c>
    </row>
    <row r="4">
      <c r="B4" s="2" t="inlineStr">
        <is>
          <t>类型</t>
        </is>
      </c>
      <c r="C4" s="2" t="inlineStr">
        <is>
          <t>数量</t>
        </is>
      </c>
      <c r="D4" s="2" t="inlineStr">
        <is>
          <t>占比</t>
        </is>
      </c>
      <c r="E4" s="2" t="inlineStr">
        <is>
          <t>改进重点</t>
        </is>
      </c>
    </row>
    <row r="5">
      <c r="B5" s="6" t="inlineStr">
        <is>
          <t>A 时机</t>
        </is>
      </c>
      <c r="C5" s="7">
        <f>COUNTIF('失败客户登记表'!F4:F33,"A时机")</f>
        <v/>
      </c>
      <c r="D5" s="8">
        <f>IFERROR(C5/SUM($C$5:$C$11),0)</f>
        <v/>
      </c>
      <c r="E5" s="9" t="inlineStr">
        <is>
          <t>客户筛选 + 0 首付 + 6 月再启动</t>
        </is>
      </c>
    </row>
    <row r="6">
      <c r="B6" s="4" t="inlineStr">
        <is>
          <t>B 价格</t>
        </is>
      </c>
      <c r="C6" s="7">
        <f>COUNTIF('失败客户登记表'!F4:F33,"B价格")</f>
        <v/>
      </c>
      <c r="D6" s="8">
        <f>IFERROR(C6/SUM($C$5:$C$11),0)</f>
        <v/>
      </c>
      <c r="E6" s="10" t="inlineStr">
        <is>
          <t>不正面降价 + 算 ROI + 三位一体捆绑</t>
        </is>
      </c>
    </row>
    <row r="7">
      <c r="B7" s="6" t="inlineStr">
        <is>
          <t>C 价值</t>
        </is>
      </c>
      <c r="C7" s="7">
        <f>COUNTIF('失败客户登记表'!F4:F33,"C价值")</f>
        <v/>
      </c>
      <c r="D7" s="8">
        <f>IFERROR(C7/SUM($C$5:$C$11),0)</f>
        <v/>
      </c>
      <c r="E7" s="9" t="inlineStr">
        <is>
          <t>强制顾问式 + 5 客户故事 + 健康度自评</t>
        </is>
      </c>
    </row>
    <row r="8">
      <c r="B8" s="4" t="inlineStr">
        <is>
          <t>D 关系</t>
        </is>
      </c>
      <c r="C8" s="7">
        <f>COUNTIF('失败客户登记表'!F4:F33,"D关系")</f>
        <v/>
      </c>
      <c r="D8" s="8">
        <f>IFERROR(C8/SUM($C$5:$C$11),0)</f>
        <v/>
      </c>
      <c r="E8" s="10" t="inlineStr">
        <is>
          <t>多层接触 + CRM 标签 + 季度回访</t>
        </is>
      </c>
    </row>
    <row r="9">
      <c r="B9" s="6" t="inlineStr">
        <is>
          <t>E 信任</t>
        </is>
      </c>
      <c r="C9" s="7">
        <f>COUNTIF('失败客户登记表'!F4:F33,"E信任")</f>
        <v/>
      </c>
      <c r="D9" s="8">
        <f>IFERROR(C9/SUM($C$5:$C$11),0)</f>
        <v/>
      </c>
      <c r="E9" s="9" t="inlineStr">
        <is>
          <t>风险逆转 + 同行背书 + CS SOP</t>
        </is>
      </c>
    </row>
    <row r="10">
      <c r="B10" s="4" t="inlineStr">
        <is>
          <t>F 竞品</t>
        </is>
      </c>
      <c r="C10" s="7">
        <f>COUNTIF('失败客户登记表'!F4:F33,"F竞品")</f>
        <v/>
      </c>
      <c r="D10" s="8">
        <f>IFERROR(C10/SUM($C$5:$C$11),0)</f>
        <v/>
      </c>
      <c r="E10" s="10" t="inlineStr">
        <is>
          <t>不正面打 + 差异化 + 未来再争夺</t>
        </is>
      </c>
    </row>
    <row r="11">
      <c r="B11" s="6" t="inlineStr">
        <is>
          <t>G 内部</t>
        </is>
      </c>
      <c r="C11" s="7">
        <f>COUNTIF('失败客户登记表'!F4:F33,"G内部")</f>
        <v/>
      </c>
      <c r="D11" s="8">
        <f>IFERROR(C11/SUM($C$5:$C$11),0)</f>
        <v/>
      </c>
      <c r="E11" s="9" t="inlineStr">
        <is>
          <t>培养内部代言人 + 绕开反对者</t>
        </is>
      </c>
    </row>
    <row r="12">
      <c r="B12" s="2" t="inlineStr">
        <is>
          <t>合计</t>
        </is>
      </c>
      <c r="C12" s="2">
        <f>SUM(C5:C11)</f>
        <v/>
      </c>
    </row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2">
      <c r="B2" s="1" t="inlineStr">
        <is>
          <t>9 销售个人失败客户分析</t>
        </is>
      </c>
    </row>
    <row r="4">
      <c r="B4" s="2" t="inlineStr">
        <is>
          <t>销售</t>
        </is>
      </c>
      <c r="C4" s="2" t="inlineStr">
        <is>
          <t>总失败</t>
        </is>
      </c>
      <c r="D4" s="2" t="inlineStr">
        <is>
          <t>A时机</t>
        </is>
      </c>
      <c r="E4" s="2" t="inlineStr">
        <is>
          <t>B价格</t>
        </is>
      </c>
      <c r="F4" s="2" t="inlineStr">
        <is>
          <t>C价值</t>
        </is>
      </c>
      <c r="G4" s="2" t="inlineStr">
        <is>
          <t>D关系</t>
        </is>
      </c>
      <c r="H4" s="2" t="inlineStr">
        <is>
          <t>E信任</t>
        </is>
      </c>
      <c r="I4" s="2" t="inlineStr">
        <is>
          <t>F竞品</t>
        </is>
      </c>
      <c r="J4" s="2" t="inlineStr">
        <is>
          <t>G内部</t>
        </is>
      </c>
      <c r="K4" s="2" t="inlineStr">
        <is>
          <t>主要改进点</t>
        </is>
      </c>
    </row>
    <row r="5">
      <c r="B5" s="6" t="inlineStr">
        <is>
          <t>A1</t>
        </is>
      </c>
      <c r="C5" s="7">
        <f>COUNTIF('失败客户登记表'!D4:D33,"A1")</f>
        <v/>
      </c>
      <c r="D5" s="11">
        <f>COUNTIFS('失败客户登记表'!D4:D33,"A1",'失败客户登记表'!F4:F33,"A时机")</f>
        <v/>
      </c>
      <c r="E5" s="11">
        <f>COUNTIFS('失败客户登记表'!D4:D33,"A1",'失败客户登记表'!F4:F33,"B价格")</f>
        <v/>
      </c>
      <c r="F5" s="11">
        <f>COUNTIFS('失败客户登记表'!D4:D33,"A1",'失败客户登记表'!F4:F33,"C价值")</f>
        <v/>
      </c>
      <c r="G5" s="11">
        <f>COUNTIFS('失败客户登记表'!D4:D33,"A1",'失败客户登记表'!F4:F33,"D关系")</f>
        <v/>
      </c>
      <c r="H5" s="11">
        <f>COUNTIFS('失败客户登记表'!D4:D33,"A1",'失败客户登记表'!F4:F33,"E信任")</f>
        <v/>
      </c>
      <c r="I5" s="11">
        <f>COUNTIFS('失败客户登记表'!D4:D33,"A1",'失败客户登记表'!F4:F33,"F竞品")</f>
        <v/>
      </c>
      <c r="J5" s="11">
        <f>COUNTIFS('失败客户登记表'!D4:D33,"A1",'失败客户登记表'!F4:F33,"G内部")</f>
        <v/>
      </c>
      <c r="K5" s="5" t="n"/>
    </row>
    <row r="6">
      <c r="B6" s="4" t="inlineStr">
        <is>
          <t>A2</t>
        </is>
      </c>
      <c r="C6" s="7">
        <f>COUNTIF('失败客户登记表'!D4:D33,"A2")</f>
        <v/>
      </c>
      <c r="D6" s="12">
        <f>COUNTIFS('失败客户登记表'!D4:D33,"A2",'失败客户登记表'!F4:F33,"A时机")</f>
        <v/>
      </c>
      <c r="E6" s="12">
        <f>COUNTIFS('失败客户登记表'!D4:D33,"A2",'失败客户登记表'!F4:F33,"B价格")</f>
        <v/>
      </c>
      <c r="F6" s="12">
        <f>COUNTIFS('失败客户登记表'!D4:D33,"A2",'失败客户登记表'!F4:F33,"C价值")</f>
        <v/>
      </c>
      <c r="G6" s="12">
        <f>COUNTIFS('失败客户登记表'!D4:D33,"A2",'失败客户登记表'!F4:F33,"D关系")</f>
        <v/>
      </c>
      <c r="H6" s="12">
        <f>COUNTIFS('失败客户登记表'!D4:D33,"A2",'失败客户登记表'!F4:F33,"E信任")</f>
        <v/>
      </c>
      <c r="I6" s="12">
        <f>COUNTIFS('失败客户登记表'!D4:D33,"A2",'失败客户登记表'!F4:F33,"F竞品")</f>
        <v/>
      </c>
      <c r="J6" s="12">
        <f>COUNTIFS('失败客户登记表'!D4:D33,"A2",'失败客户登记表'!F4:F33,"G内部")</f>
        <v/>
      </c>
      <c r="K6" s="5" t="n"/>
    </row>
    <row r="7">
      <c r="B7" s="6" t="inlineStr">
        <is>
          <t>A3</t>
        </is>
      </c>
      <c r="C7" s="7">
        <f>COUNTIF('失败客户登记表'!D4:D33,"A3")</f>
        <v/>
      </c>
      <c r="D7" s="11">
        <f>COUNTIFS('失败客户登记表'!D4:D33,"A3",'失败客户登记表'!F4:F33,"A时机")</f>
        <v/>
      </c>
      <c r="E7" s="11">
        <f>COUNTIFS('失败客户登记表'!D4:D33,"A3",'失败客户登记表'!F4:F33,"B价格")</f>
        <v/>
      </c>
      <c r="F7" s="11">
        <f>COUNTIFS('失败客户登记表'!D4:D33,"A3",'失败客户登记表'!F4:F33,"C价值")</f>
        <v/>
      </c>
      <c r="G7" s="11">
        <f>COUNTIFS('失败客户登记表'!D4:D33,"A3",'失败客户登记表'!F4:F33,"D关系")</f>
        <v/>
      </c>
      <c r="H7" s="11">
        <f>COUNTIFS('失败客户登记表'!D4:D33,"A3",'失败客户登记表'!F4:F33,"E信任")</f>
        <v/>
      </c>
      <c r="I7" s="11">
        <f>COUNTIFS('失败客户登记表'!D4:D33,"A3",'失败客户登记表'!F4:F33,"F竞品")</f>
        <v/>
      </c>
      <c r="J7" s="11">
        <f>COUNTIFS('失败客户登记表'!D4:D33,"A3",'失败客户登记表'!F4:F33,"G内部")</f>
        <v/>
      </c>
      <c r="K7" s="5" t="n"/>
    </row>
    <row r="8">
      <c r="B8" s="4" t="inlineStr">
        <is>
          <t>B1</t>
        </is>
      </c>
      <c r="C8" s="7">
        <f>COUNTIF('失败客户登记表'!D4:D33,"B1")</f>
        <v/>
      </c>
      <c r="D8" s="12">
        <f>COUNTIFS('失败客户登记表'!D4:D33,"B1",'失败客户登记表'!F4:F33,"A时机")</f>
        <v/>
      </c>
      <c r="E8" s="12">
        <f>COUNTIFS('失败客户登记表'!D4:D33,"B1",'失败客户登记表'!F4:F33,"B价格")</f>
        <v/>
      </c>
      <c r="F8" s="12">
        <f>COUNTIFS('失败客户登记表'!D4:D33,"B1",'失败客户登记表'!F4:F33,"C价值")</f>
        <v/>
      </c>
      <c r="G8" s="12">
        <f>COUNTIFS('失败客户登记表'!D4:D33,"B1",'失败客户登记表'!F4:F33,"D关系")</f>
        <v/>
      </c>
      <c r="H8" s="12">
        <f>COUNTIFS('失败客户登记表'!D4:D33,"B1",'失败客户登记表'!F4:F33,"E信任")</f>
        <v/>
      </c>
      <c r="I8" s="12">
        <f>COUNTIFS('失败客户登记表'!D4:D33,"B1",'失败客户登记表'!F4:F33,"F竞品")</f>
        <v/>
      </c>
      <c r="J8" s="12">
        <f>COUNTIFS('失败客户登记表'!D4:D33,"B1",'失败客户登记表'!F4:F33,"G内部")</f>
        <v/>
      </c>
      <c r="K8" s="5" t="n"/>
    </row>
    <row r="9">
      <c r="B9" s="6" t="inlineStr">
        <is>
          <t>B2</t>
        </is>
      </c>
      <c r="C9" s="7">
        <f>COUNTIF('失败客户登记表'!D4:D33,"B2")</f>
        <v/>
      </c>
      <c r="D9" s="11">
        <f>COUNTIFS('失败客户登记表'!D4:D33,"B2",'失败客户登记表'!F4:F33,"A时机")</f>
        <v/>
      </c>
      <c r="E9" s="11">
        <f>COUNTIFS('失败客户登记表'!D4:D33,"B2",'失败客户登记表'!F4:F33,"B价格")</f>
        <v/>
      </c>
      <c r="F9" s="11">
        <f>COUNTIFS('失败客户登记表'!D4:D33,"B2",'失败客户登记表'!F4:F33,"C价值")</f>
        <v/>
      </c>
      <c r="G9" s="11">
        <f>COUNTIFS('失败客户登记表'!D4:D33,"B2",'失败客户登记表'!F4:F33,"D关系")</f>
        <v/>
      </c>
      <c r="H9" s="11">
        <f>COUNTIFS('失败客户登记表'!D4:D33,"B2",'失败客户登记表'!F4:F33,"E信任")</f>
        <v/>
      </c>
      <c r="I9" s="11">
        <f>COUNTIFS('失败客户登记表'!D4:D33,"B2",'失败客户登记表'!F4:F33,"F竞品")</f>
        <v/>
      </c>
      <c r="J9" s="11">
        <f>COUNTIFS('失败客户登记表'!D4:D33,"B2",'失败客户登记表'!F4:F33,"G内部")</f>
        <v/>
      </c>
      <c r="K9" s="5" t="n"/>
    </row>
    <row r="10">
      <c r="B10" s="4" t="inlineStr">
        <is>
          <t>B3</t>
        </is>
      </c>
      <c r="C10" s="7">
        <f>COUNTIF('失败客户登记表'!D4:D33,"B3")</f>
        <v/>
      </c>
      <c r="D10" s="12">
        <f>COUNTIFS('失败客户登记表'!D4:D33,"B3",'失败客户登记表'!F4:F33,"A时机")</f>
        <v/>
      </c>
      <c r="E10" s="12">
        <f>COUNTIFS('失败客户登记表'!D4:D33,"B3",'失败客户登记表'!F4:F33,"B价格")</f>
        <v/>
      </c>
      <c r="F10" s="12">
        <f>COUNTIFS('失败客户登记表'!D4:D33,"B3",'失败客户登记表'!F4:F33,"C价值")</f>
        <v/>
      </c>
      <c r="G10" s="12">
        <f>COUNTIFS('失败客户登记表'!D4:D33,"B3",'失败客户登记表'!F4:F33,"D关系")</f>
        <v/>
      </c>
      <c r="H10" s="12">
        <f>COUNTIFS('失败客户登记表'!D4:D33,"B3",'失败客户登记表'!F4:F33,"E信任")</f>
        <v/>
      </c>
      <c r="I10" s="12">
        <f>COUNTIFS('失败客户登记表'!D4:D33,"B3",'失败客户登记表'!F4:F33,"F竞品")</f>
        <v/>
      </c>
      <c r="J10" s="12">
        <f>COUNTIFS('失败客户登记表'!D4:D33,"B3",'失败客户登记表'!F4:F33,"G内部")</f>
        <v/>
      </c>
      <c r="K10" s="5" t="n"/>
    </row>
    <row r="11">
      <c r="B11" s="6" t="inlineStr">
        <is>
          <t>C1</t>
        </is>
      </c>
      <c r="C11" s="7">
        <f>COUNTIF('失败客户登记表'!D4:D33,"C1")</f>
        <v/>
      </c>
      <c r="D11" s="11">
        <f>COUNTIFS('失败客户登记表'!D4:D33,"C1",'失败客户登记表'!F4:F33,"A时机")</f>
        <v/>
      </c>
      <c r="E11" s="11">
        <f>COUNTIFS('失败客户登记表'!D4:D33,"C1",'失败客户登记表'!F4:F33,"B价格")</f>
        <v/>
      </c>
      <c r="F11" s="11">
        <f>COUNTIFS('失败客户登记表'!D4:D33,"C1",'失败客户登记表'!F4:F33,"C价值")</f>
        <v/>
      </c>
      <c r="G11" s="11">
        <f>COUNTIFS('失败客户登记表'!D4:D33,"C1",'失败客户登记表'!F4:F33,"D关系")</f>
        <v/>
      </c>
      <c r="H11" s="11">
        <f>COUNTIFS('失败客户登记表'!D4:D33,"C1",'失败客户登记表'!F4:F33,"E信任")</f>
        <v/>
      </c>
      <c r="I11" s="11">
        <f>COUNTIFS('失败客户登记表'!D4:D33,"C1",'失败客户登记表'!F4:F33,"F竞品")</f>
        <v/>
      </c>
      <c r="J11" s="11">
        <f>COUNTIFS('失败客户登记表'!D4:D33,"C1",'失败客户登记表'!F4:F33,"G内部")</f>
        <v/>
      </c>
      <c r="K11" s="5" t="n"/>
    </row>
    <row r="12">
      <c r="B12" s="4" t="inlineStr">
        <is>
          <t>C2</t>
        </is>
      </c>
      <c r="C12" s="7">
        <f>COUNTIF('失败客户登记表'!D4:D33,"C2")</f>
        <v/>
      </c>
      <c r="D12" s="12">
        <f>COUNTIFS('失败客户登记表'!D4:D33,"C2",'失败客户登记表'!F4:F33,"A时机")</f>
        <v/>
      </c>
      <c r="E12" s="12">
        <f>COUNTIFS('失败客户登记表'!D4:D33,"C2",'失败客户登记表'!F4:F33,"B价格")</f>
        <v/>
      </c>
      <c r="F12" s="12">
        <f>COUNTIFS('失败客户登记表'!D4:D33,"C2",'失败客户登记表'!F4:F33,"C价值")</f>
        <v/>
      </c>
      <c r="G12" s="12">
        <f>COUNTIFS('失败客户登记表'!D4:D33,"C2",'失败客户登记表'!F4:F33,"D关系")</f>
        <v/>
      </c>
      <c r="H12" s="12">
        <f>COUNTIFS('失败客户登记表'!D4:D33,"C2",'失败客户登记表'!F4:F33,"E信任")</f>
        <v/>
      </c>
      <c r="I12" s="12">
        <f>COUNTIFS('失败客户登记表'!D4:D33,"C2",'失败客户登记表'!F4:F33,"F竞品")</f>
        <v/>
      </c>
      <c r="J12" s="12">
        <f>COUNTIFS('失败客户登记表'!D4:D33,"C2",'失败客户登记表'!F4:F33,"G内部")</f>
        <v/>
      </c>
      <c r="K12" s="5" t="n"/>
    </row>
    <row r="13">
      <c r="B13" s="6" t="inlineStr">
        <is>
          <t>C3</t>
        </is>
      </c>
      <c r="C13" s="7">
        <f>COUNTIF('失败客户登记表'!D4:D33,"C3")</f>
        <v/>
      </c>
      <c r="D13" s="11">
        <f>COUNTIFS('失败客户登记表'!D4:D33,"C3",'失败客户登记表'!F4:F33,"A时机")</f>
        <v/>
      </c>
      <c r="E13" s="11">
        <f>COUNTIFS('失败客户登记表'!D4:D33,"C3",'失败客户登记表'!F4:F33,"B价格")</f>
        <v/>
      </c>
      <c r="F13" s="11">
        <f>COUNTIFS('失败客户登记表'!D4:D33,"C3",'失败客户登记表'!F4:F33,"C价值")</f>
        <v/>
      </c>
      <c r="G13" s="11">
        <f>COUNTIFS('失败客户登记表'!D4:D33,"C3",'失败客户登记表'!F4:F33,"D关系")</f>
        <v/>
      </c>
      <c r="H13" s="11">
        <f>COUNTIFS('失败客户登记表'!D4:D33,"C3",'失败客户登记表'!F4:F33,"E信任")</f>
        <v/>
      </c>
      <c r="I13" s="11">
        <f>COUNTIFS('失败客户登记表'!D4:D33,"C3",'失败客户登记表'!F4:F33,"F竞品")</f>
        <v/>
      </c>
      <c r="J13" s="11">
        <f>COUNTIFS('失败客户登记表'!D4:D33,"C3",'失败客户登记表'!F4:F33,"G内部")</f>
        <v/>
      </c>
      <c r="K13" s="5" t="n"/>
    </row>
    <row r="14">
      <c r="B14" s="2" t="inlineStr">
        <is>
          <t>合计</t>
        </is>
      </c>
      <c r="C14" s="2">
        <f>SUM(C5:C13)</f>
        <v/>
      </c>
      <c r="D14" s="2">
        <f>SUM(D5:D13)</f>
        <v/>
      </c>
      <c r="E14" s="2">
        <f>SUM(E5:E13)</f>
        <v/>
      </c>
      <c r="F14" s="2">
        <f>SUM(F5:F13)</f>
        <v/>
      </c>
      <c r="G14" s="2">
        <f>SUM(G5:G13)</f>
        <v/>
      </c>
      <c r="H14" s="2">
        <f>SUM(H5:H13)</f>
        <v/>
      </c>
      <c r="I14" s="2">
        <f>SUM(I5:I13)</f>
        <v/>
      </c>
      <c r="J14" s="2">
        <f>SUM(J5:J13)</f>
        <v/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4" customWidth="1" min="4" max="4"/>
    <col width="30" customWidth="1" min="5" max="5"/>
  </cols>
  <sheetData>
    <row r="2">
      <c r="B2" s="1" t="inlineStr">
        <is>
          <t>产品 / 价格失败分析</t>
        </is>
      </c>
    </row>
    <row r="4">
      <c r="B4" s="13" t="inlineStr">
        <is>
          <t>▼ 高频反对意见 TOP 10</t>
        </is>
      </c>
    </row>
    <row r="5">
      <c r="B5" s="2" t="inlineStr">
        <is>
          <t>排名</t>
        </is>
      </c>
      <c r="C5" s="2" t="inlineStr">
        <is>
          <t>反对意见</t>
        </is>
      </c>
      <c r="D5" s="2" t="inlineStr">
        <is>
          <t>出现次数</t>
        </is>
      </c>
      <c r="E5" s="2" t="inlineStr">
        <is>
          <t>改进对策</t>
        </is>
      </c>
    </row>
    <row r="6">
      <c r="B6" s="4" t="n">
        <v>1</v>
      </c>
      <c r="C6" s="10" t="inlineStr">
        <is>
          <t>竞品价格便宜</t>
        </is>
      </c>
      <c r="D6" s="14" t="inlineStr"/>
      <c r="E6" s="10" t="inlineStr">
        <is>
          <t>出价值故事 + ROI 算法 + 三位一体捆绑</t>
        </is>
      </c>
    </row>
    <row r="7">
      <c r="B7" s="4" t="n">
        <v>2</v>
      </c>
      <c r="C7" s="10" t="inlineStr">
        <is>
          <t>我现在用别家</t>
        </is>
      </c>
      <c r="D7" s="14" t="inlineStr"/>
      <c r="E7" s="10" t="inlineStr">
        <is>
          <t>强调互补 + 30 天免费试用</t>
        </is>
      </c>
    </row>
    <row r="8">
      <c r="B8" s="4" t="n">
        <v>3</v>
      </c>
      <c r="C8" s="10" t="inlineStr">
        <is>
          <t>没时间</t>
        </is>
      </c>
      <c r="D8" s="14" t="inlineStr"/>
      <c r="E8" s="10" t="inlineStr">
        <is>
          <t>5 分钟演示 + 关键功能聚焦</t>
        </is>
      </c>
    </row>
    <row r="9">
      <c r="B9" s="4" t="n">
        <v>4</v>
      </c>
      <c r="C9" s="10" t="inlineStr">
        <is>
          <t>员工不会用</t>
        </is>
      </c>
      <c r="D9" s="14" t="inlineStr"/>
      <c r="E9" s="10" t="inlineStr">
        <is>
          <t>10 分钟培训承诺 + 视频教学</t>
        </is>
      </c>
    </row>
    <row r="10">
      <c r="B10" s="4" t="n">
        <v>5</v>
      </c>
      <c r="C10" s="10" t="inlineStr">
        <is>
          <t>不相信 AI</t>
        </is>
      </c>
      <c r="D10" s="14" t="inlineStr"/>
      <c r="E10" s="10" t="inlineStr">
        <is>
          <t>30 天免费 + 同行案例</t>
        </is>
      </c>
    </row>
    <row r="11">
      <c r="B11" s="4" t="n">
        <v>6</v>
      </c>
      <c r="C11" s="10" t="inlineStr">
        <is>
          <t>先问别人</t>
        </is>
      </c>
      <c r="D11" s="14" t="inlineStr"/>
      <c r="E11" s="10" t="inlineStr">
        <is>
          <t>案例 PDF + 同行电话联系</t>
        </is>
      </c>
    </row>
    <row r="12">
      <c r="B12" s="4" t="n">
        <v>7</v>
      </c>
      <c r="C12" s="10" t="inlineStr">
        <is>
          <t>没听说过你们</t>
        </is>
      </c>
      <c r="D12" s="14" t="inlineStr"/>
      <c r="E12" s="10" t="inlineStr">
        <is>
          <t>权威背书 + 行业排名 + 客户名单</t>
        </is>
      </c>
    </row>
    <row r="13">
      <c r="B13" s="4" t="n">
        <v>8</v>
      </c>
      <c r="C13" s="10" t="inlineStr">
        <is>
          <t>用别家 AI</t>
        </is>
      </c>
      <c r="D13" s="14" t="inlineStr"/>
      <c r="E13" s="10" t="inlineStr">
        <is>
          <t>互补不替代</t>
        </is>
      </c>
    </row>
    <row r="14">
      <c r="B14" s="4" t="n">
        <v>9</v>
      </c>
      <c r="C14" s="10" t="inlineStr">
        <is>
          <t>看资料</t>
        </is>
      </c>
      <c r="D14" s="14" t="inlineStr"/>
      <c r="E14" s="10" t="inlineStr">
        <is>
          <t>30 天免费试用</t>
        </is>
      </c>
    </row>
    <row r="15">
      <c r="B15" s="4" t="n">
        <v>10</v>
      </c>
      <c r="C15" s="10" t="inlineStr">
        <is>
          <t>找老板说</t>
        </is>
      </c>
      <c r="D15" s="14" t="inlineStr"/>
      <c r="E15" s="10" t="inlineStr">
        <is>
          <t>先做『教练』，让他能讲清</t>
        </is>
      </c>
    </row>
  </sheetData>
  <mergeCells count="2">
    <mergeCell ref="B2:E2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2">
      <c r="B2" s="1" t="inlineStr">
        <is>
          <t>流程改进动作追踪</t>
        </is>
      </c>
    </row>
    <row r="4">
      <c r="B4" s="2" t="inlineStr">
        <is>
          <t>改进动作</t>
        </is>
      </c>
      <c r="C4" s="2" t="inlineStr">
        <is>
          <t>来源</t>
        </is>
      </c>
      <c r="D4" s="2" t="inlineStr">
        <is>
          <t>责任人</t>
        </is>
      </c>
      <c r="E4" s="2" t="inlineStr">
        <is>
          <t>开始日</t>
        </is>
      </c>
      <c r="F4" s="2" t="inlineStr">
        <is>
          <t>完成日</t>
        </is>
      </c>
      <c r="G4" s="2" t="inlineStr">
        <is>
          <t>状态</t>
        </is>
      </c>
    </row>
    <row r="5">
      <c r="B5" s="5" t="n"/>
      <c r="C5" s="5" t="n"/>
      <c r="D5" s="5" t="n"/>
      <c r="E5" s="5" t="n"/>
      <c r="F5" s="5" t="n"/>
      <c r="G5" s="5" t="n"/>
    </row>
    <row r="6">
      <c r="B6" s="5" t="n"/>
      <c r="C6" s="5" t="n"/>
      <c r="D6" s="5" t="n"/>
      <c r="E6" s="5" t="n"/>
      <c r="F6" s="5" t="n"/>
      <c r="G6" s="5" t="n"/>
    </row>
    <row r="7">
      <c r="B7" s="5" t="n"/>
      <c r="C7" s="5" t="n"/>
      <c r="D7" s="5" t="n"/>
      <c r="E7" s="5" t="n"/>
      <c r="F7" s="5" t="n"/>
      <c r="G7" s="5" t="n"/>
    </row>
    <row r="8">
      <c r="B8" s="5" t="n"/>
      <c r="C8" s="5" t="n"/>
      <c r="D8" s="5" t="n"/>
      <c r="E8" s="5" t="n"/>
      <c r="F8" s="5" t="n"/>
      <c r="G8" s="5" t="n"/>
    </row>
    <row r="9">
      <c r="B9" s="5" t="n"/>
      <c r="C9" s="5" t="n"/>
      <c r="D9" s="5" t="n"/>
      <c r="E9" s="5" t="n"/>
      <c r="F9" s="5" t="n"/>
      <c r="G9" s="5" t="n"/>
    </row>
    <row r="10">
      <c r="B10" s="5" t="n"/>
      <c r="C10" s="5" t="n"/>
      <c r="D10" s="5" t="n"/>
      <c r="E10" s="5" t="n"/>
      <c r="F10" s="5" t="n"/>
      <c r="G10" s="5" t="n"/>
    </row>
    <row r="11">
      <c r="B11" s="5" t="n"/>
      <c r="C11" s="5" t="n"/>
      <c r="D11" s="5" t="n"/>
      <c r="E11" s="5" t="n"/>
      <c r="F11" s="5" t="n"/>
      <c r="G11" s="5" t="n"/>
    </row>
    <row r="12">
      <c r="B12" s="5" t="n"/>
      <c r="C12" s="5" t="n"/>
      <c r="D12" s="5" t="n"/>
      <c r="E12" s="5" t="n"/>
      <c r="F12" s="5" t="n"/>
      <c r="G12" s="5" t="n"/>
    </row>
    <row r="13">
      <c r="B13" s="5" t="n"/>
      <c r="C13" s="5" t="n"/>
      <c r="D13" s="5" t="n"/>
      <c r="E13" s="5" t="n"/>
      <c r="F13" s="5" t="n"/>
      <c r="G13" s="5" t="n"/>
    </row>
    <row r="14">
      <c r="B14" s="5" t="n"/>
      <c r="C14" s="5" t="n"/>
      <c r="D14" s="5" t="n"/>
      <c r="E14" s="5" t="n"/>
      <c r="F14" s="5" t="n"/>
      <c r="G14" s="5" t="n"/>
    </row>
    <row r="15">
      <c r="B15" s="5" t="n"/>
      <c r="C15" s="5" t="n"/>
      <c r="D15" s="5" t="n"/>
      <c r="E15" s="5" t="n"/>
      <c r="F15" s="5" t="n"/>
      <c r="G15" s="5" t="n"/>
    </row>
    <row r="16">
      <c r="B16" s="5" t="n"/>
      <c r="C16" s="5" t="n"/>
      <c r="D16" s="5" t="n"/>
      <c r="E16" s="5" t="n"/>
      <c r="F16" s="5" t="n"/>
      <c r="G16" s="5" t="n"/>
    </row>
    <row r="17">
      <c r="B17" s="5" t="n"/>
      <c r="C17" s="5" t="n"/>
      <c r="D17" s="5" t="n"/>
      <c r="E17" s="5" t="n"/>
      <c r="F17" s="5" t="n"/>
      <c r="G17" s="5" t="n"/>
    </row>
    <row r="18">
      <c r="B18" s="5" t="n"/>
      <c r="C18" s="5" t="n"/>
      <c r="D18" s="5" t="n"/>
      <c r="E18" s="5" t="n"/>
      <c r="F18" s="5" t="n"/>
      <c r="G18" s="5" t="n"/>
    </row>
    <row r="19">
      <c r="B19" s="5" t="n"/>
      <c r="C19" s="5" t="n"/>
      <c r="D19" s="5" t="n"/>
      <c r="E19" s="5" t="n"/>
      <c r="F19" s="5" t="n"/>
      <c r="G19" s="5" t="n"/>
    </row>
    <row r="20">
      <c r="B20" s="5" t="n"/>
      <c r="C20" s="5" t="n"/>
      <c r="D20" s="5" t="n"/>
      <c r="E20" s="5" t="n"/>
      <c r="F20" s="5" t="n"/>
      <c r="G20" s="5" t="n"/>
    </row>
    <row r="21">
      <c r="B21" s="5" t="n"/>
      <c r="C21" s="5" t="n"/>
      <c r="D21" s="5" t="n"/>
      <c r="E21" s="5" t="n"/>
      <c r="F21" s="5" t="n"/>
      <c r="G21" s="5" t="n"/>
    </row>
    <row r="22">
      <c r="B22" s="5" t="n"/>
      <c r="C22" s="5" t="n"/>
      <c r="D22" s="5" t="n"/>
      <c r="E22" s="5" t="n"/>
      <c r="F22" s="5" t="n"/>
      <c r="G22" s="5" t="n"/>
    </row>
    <row r="23">
      <c r="B23" s="5" t="n"/>
      <c r="C23" s="5" t="n"/>
      <c r="D23" s="5" t="n"/>
      <c r="E23" s="5" t="n"/>
      <c r="F23" s="5" t="n"/>
      <c r="G23" s="5" t="n"/>
    </row>
    <row r="24">
      <c r="B24" s="5" t="n"/>
      <c r="C24" s="5" t="n"/>
      <c r="D24" s="5" t="n"/>
      <c r="E24" s="5" t="n"/>
      <c r="F24" s="5" t="n"/>
      <c r="G24" s="5" t="n"/>
    </row>
    <row r="25">
      <c r="B25" s="5" t="n"/>
      <c r="C25" s="5" t="n"/>
      <c r="D25" s="5" t="n"/>
      <c r="E25" s="5" t="n"/>
      <c r="F25" s="5" t="n"/>
      <c r="G25" s="5" t="n"/>
    </row>
    <row r="26">
      <c r="B26" s="5" t="n"/>
      <c r="C26" s="5" t="n"/>
      <c r="D26" s="5" t="n"/>
      <c r="E26" s="5" t="n"/>
      <c r="F26" s="5" t="n"/>
      <c r="G26" s="5" t="n"/>
    </row>
    <row r="27">
      <c r="B27" s="5" t="n"/>
      <c r="C27" s="5" t="n"/>
      <c r="D27" s="5" t="n"/>
      <c r="E27" s="5" t="n"/>
      <c r="F27" s="5" t="n"/>
      <c r="G27" s="5" t="n"/>
    </row>
    <row r="28">
      <c r="B28" s="5" t="n"/>
      <c r="C28" s="5" t="n"/>
      <c r="D28" s="5" t="n"/>
      <c r="E28" s="5" t="n"/>
      <c r="F28" s="5" t="n"/>
      <c r="G28" s="5" t="n"/>
    </row>
    <row r="29">
      <c r="B29" s="5" t="n"/>
      <c r="C29" s="5" t="n"/>
      <c r="D29" s="5" t="n"/>
      <c r="E29" s="5" t="n"/>
      <c r="F29" s="5" t="n"/>
      <c r="G29" s="5" t="n"/>
    </row>
    <row r="30">
      <c r="B30" s="5" t="n"/>
      <c r="C30" s="5" t="n"/>
      <c r="D30" s="5" t="n"/>
      <c r="E30" s="5" t="n"/>
      <c r="F30" s="5" t="n"/>
      <c r="G30" s="5" t="n"/>
    </row>
    <row r="31">
      <c r="B31" s="5" t="n"/>
      <c r="C31" s="5" t="n"/>
      <c r="D31" s="5" t="n"/>
      <c r="E31" s="5" t="n"/>
      <c r="F31" s="5" t="n"/>
      <c r="G31" s="5" t="n"/>
    </row>
    <row r="32">
      <c r="B32" s="5" t="n"/>
      <c r="C32" s="5" t="n"/>
      <c r="D32" s="5" t="n"/>
      <c r="E32" s="5" t="n"/>
      <c r="F32" s="5" t="n"/>
      <c r="G32" s="5" t="n"/>
    </row>
    <row r="33">
      <c r="B33" s="5" t="n"/>
      <c r="C33" s="5" t="n"/>
      <c r="D33" s="5" t="n"/>
      <c r="E33" s="5" t="n"/>
      <c r="F33" s="5" t="n"/>
      <c r="G33" s="5" t="n"/>
    </row>
    <row r="34">
      <c r="B34" s="5" t="n"/>
      <c r="C34" s="5" t="n"/>
      <c r="D34" s="5" t="n"/>
      <c r="E34" s="5" t="n"/>
      <c r="F34" s="5" t="n"/>
      <c r="G34" s="5" t="n"/>
    </row>
  </sheetData>
  <mergeCells count="1">
    <mergeCell ref="B2:G2"/>
  </mergeCells>
  <conditionalFormatting sqref="G5:G34">
    <cfRule type="cellIs" priority="1" operator="equal" dxfId="7">
      <formula>"已完成"</formula>
    </cfRule>
    <cfRule type="cellIs" priority="2" operator="equal" dxfId="0">
      <formula>"进行中"</formula>
    </cfRule>
    <cfRule type="cellIs" priority="3" operator="equal" dxfId="2">
      <formula>"延期"</formula>
    </cfRule>
  </conditionalFormatting>
  <dataValidations count="1">
    <dataValidation sqref="G5:G34" showDropDown="0" showInputMessage="0" showErrorMessage="0" allowBlank="1" type="list">
      <formula1>"待办,进行中,已完成,延期"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</cols>
  <sheetData>
    <row r="2">
      <c r="B2" s="1" t="inlineStr">
        <is>
          <t>月度失败客户复盘汇总</t>
        </is>
      </c>
    </row>
    <row r="4">
      <c r="B4" s="2" t="inlineStr">
        <is>
          <t>指标</t>
        </is>
      </c>
      <c r="C4" s="2" t="inlineStr">
        <is>
          <t>M1</t>
        </is>
      </c>
      <c r="D4" s="2" t="inlineStr">
        <is>
          <t>M2</t>
        </is>
      </c>
      <c r="E4" s="2" t="inlineStr">
        <is>
          <t>M3</t>
        </is>
      </c>
    </row>
    <row r="5">
      <c r="B5" s="15" t="inlineStr">
        <is>
          <t>新增失败客户数</t>
        </is>
      </c>
      <c r="C5" s="16" t="n"/>
      <c r="D5" s="16" t="n"/>
      <c r="E5" s="16" t="n"/>
    </row>
    <row r="6">
      <c r="B6" s="15" t="inlineStr">
        <is>
          <t>A 时机型</t>
        </is>
      </c>
      <c r="C6" s="16" t="n"/>
      <c r="D6" s="16" t="n"/>
      <c r="E6" s="16" t="n"/>
    </row>
    <row r="7">
      <c r="B7" s="15" t="inlineStr">
        <is>
          <t>B 价格型</t>
        </is>
      </c>
      <c r="C7" s="16" t="n"/>
      <c r="D7" s="16" t="n"/>
      <c r="E7" s="16" t="n"/>
    </row>
    <row r="8">
      <c r="B8" s="15" t="inlineStr">
        <is>
          <t>C 价值型</t>
        </is>
      </c>
      <c r="C8" s="16" t="n"/>
      <c r="D8" s="16" t="n"/>
      <c r="E8" s="16" t="n"/>
    </row>
    <row r="9">
      <c r="B9" s="15" t="inlineStr">
        <is>
          <t>D 关系型</t>
        </is>
      </c>
      <c r="C9" s="16" t="n"/>
      <c r="D9" s="16" t="n"/>
      <c r="E9" s="16" t="n"/>
    </row>
    <row r="10">
      <c r="B10" s="15" t="inlineStr">
        <is>
          <t>E 信任型</t>
        </is>
      </c>
      <c r="C10" s="16" t="n"/>
      <c r="D10" s="16" t="n"/>
      <c r="E10" s="16" t="n"/>
    </row>
    <row r="11">
      <c r="B11" s="15" t="inlineStr">
        <is>
          <t>F 竞品型</t>
        </is>
      </c>
      <c r="C11" s="16" t="n"/>
      <c r="D11" s="16" t="n"/>
      <c r="E11" s="16" t="n"/>
    </row>
    <row r="12">
      <c r="B12" s="15" t="inlineStr">
        <is>
          <t>G 内部型</t>
        </is>
      </c>
      <c r="C12" s="16" t="n"/>
      <c r="D12" s="16" t="n"/>
      <c r="E12" s="16" t="n"/>
    </row>
    <row r="13">
      <c r="B13" s="15" t="inlineStr">
        <is>
          <t>失败 / 接触客户比</t>
        </is>
      </c>
      <c r="C13" s="16" t="n"/>
      <c r="D13" s="16" t="n"/>
      <c r="E13" s="16" t="n"/>
    </row>
    <row r="14">
      <c r="B14" s="15" t="inlineStr">
        <is>
          <t>完成访谈数</t>
        </is>
      </c>
      <c r="C14" s="16" t="n"/>
      <c r="D14" s="16" t="n"/>
      <c r="E14" s="16" t="n"/>
    </row>
    <row r="15">
      <c r="B15" s="15" t="inlineStr">
        <is>
          <t>已启动改进数</t>
        </is>
      </c>
      <c r="C15" s="16" t="n"/>
      <c r="D15" s="16" t="n"/>
      <c r="E15" s="16" t="n"/>
    </row>
    <row r="16">
      <c r="B16" s="15" t="inlineStr">
        <is>
          <t>已完成改进数</t>
        </is>
      </c>
      <c r="C16" s="16" t="n"/>
      <c r="D16" s="16" t="n"/>
      <c r="E16" s="16" t="n"/>
    </row>
    <row r="19">
      <c r="B19" s="13" t="inlineStr">
        <is>
          <t>▼ 月度三问</t>
        </is>
      </c>
    </row>
    <row r="20" ht="40" customHeight="1">
      <c r="B20" s="15" t="inlineStr">
        <is>
          <t>1. 本月失败的最大共性是什么？</t>
        </is>
      </c>
      <c r="C20" s="5" t="n"/>
    </row>
    <row r="21" ht="40" customHeight="1">
      <c r="B21" s="15" t="inlineStr">
        <is>
          <t>2. 哪个销售改进最快 / 最慢？</t>
        </is>
      </c>
      <c r="C21" s="5" t="n"/>
    </row>
    <row r="22" ht="40" customHeight="1">
      <c r="B22" s="15" t="inlineStr">
        <is>
          <t>3. 下月最重要的 1 个改进是？</t>
        </is>
      </c>
      <c r="C22" s="5" t="n"/>
    </row>
  </sheetData>
  <mergeCells count="5">
    <mergeCell ref="C22:E22"/>
    <mergeCell ref="B19:E19"/>
    <mergeCell ref="B2:E2"/>
    <mergeCell ref="C21:E21"/>
    <mergeCell ref="C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2026-06-13T18:33:26Z</dcterms:created>
  <dcterms:modified xsi:type="dcterms:W3CDTF">2026-06-13T18:33:26Z</dcterms:modified>
</cp:coreProperties>
</file>