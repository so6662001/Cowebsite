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挽回客户主表" sheetId="2" state="visible" r:id="rId2"/>
    <sheet name="挽回漏斗" sheetId="3" state="visible" r:id="rId3"/>
    <sheet name="销售个人挽回率" sheetId="4" state="visible" r:id="rId4"/>
    <sheet name="月度趋势" sheetId="5" state="visible" r:id="rId5"/>
    <sheet name="ROI测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¥&quot;#,##0"/>
    <numFmt numFmtId="165" formatCode="0.0%"/>
    <numFmt numFmtId="166" formatCode="0.0x"/>
  </numFmts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b val="1"/>
      <sz val="10"/>
    </font>
    <font>
      <name val="Microsoft YaHei"/>
      <b val="1"/>
      <color rgb="00FFFFFF"/>
      <sz val="11"/>
    </font>
    <font>
      <name val="Microsoft YaHei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5" fontId="2" fillId="6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6" fontId="2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6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00B050"/>
        </patternFill>
      </fill>
    </dxf>
    <dxf>
      <fill>
        <patternFill patternType="solid">
          <fgColor rgb="00FF6B6B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70" customWidth="1" min="3" max="3"/>
  </cols>
  <sheetData>
    <row r="2">
      <c r="B2" s="1" t="inlineStr">
        <is>
          <t>失败客户挽回数据看板</t>
        </is>
      </c>
    </row>
    <row r="4" ht="50" customHeight="1">
      <c r="B4" s="2" t="inlineStr">
        <is>
          <t>适用对象</t>
        </is>
      </c>
      <c r="C4" s="3" t="inlineStr">
        <is>
          <t>销售总监 + 业务 VP + 老板</t>
        </is>
      </c>
    </row>
    <row r="5" ht="74.19999999999999" customHeight="1">
      <c r="B5" s="2" t="inlineStr">
        <is>
          <t>使用步骤</t>
        </is>
      </c>
      <c r="C5" s="3" t="inlineStr">
        <is>
          <t>① 销售把过去 30+ 失败客户录入『挽回客户主表』
② 标注 7 类型 + 启动挽回
③ 切换『挽回漏斗』看 7 类型进展
④ 切换『销售个人挽回率』看每个销售的挽回能力
⑤ 切换『ROI 测算』看挽回投入产出</t>
        </is>
      </c>
    </row>
    <row r="6" ht="69.3" customHeight="1">
      <c r="B6" s="2" t="inlineStr">
        <is>
          <t>挽回率参考</t>
        </is>
      </c>
      <c r="C6" s="3" t="inlineStr">
        <is>
          <t>A 时机型 40-60% | B 价格型 20-30% | C 价值型 25-35%
D 关系型 30-40% | E 信任型 15-20% | F 竞品型 5-10% | G 内部型 15-25%</t>
        </is>
      </c>
    </row>
    <row r="7" ht="50" customHeight="1">
      <c r="B7" s="2" t="inlineStr">
        <is>
          <t>挽回 ROI</t>
        </is>
      </c>
      <c r="C7" s="3" t="inlineStr">
        <is>
          <t>单客挽回成本 ¥9,000 vs 新客 ¥30-50K
挽回 ROI = 3-5 倍 vs 新客获取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8" customWidth="1" min="5" max="5"/>
    <col width="14" customWidth="1" min="6" max="6"/>
    <col width="14" customWidth="1" min="7" max="7"/>
    <col width="14" customWidth="1" min="8" max="8"/>
    <col width="14" customWidth="1" min="9" max="9"/>
    <col width="30" customWidth="1" min="10" max="10"/>
  </cols>
  <sheetData>
    <row r="1">
      <c r="A1" s="1" t="inlineStr">
        <is>
          <t>失败客户挽回主表（黄色 = 输入）</t>
        </is>
      </c>
    </row>
    <row r="3" ht="32" customHeight="1">
      <c r="A3" s="2" t="inlineStr">
        <is>
          <t>#</t>
        </is>
      </c>
      <c r="B3" s="2" t="inlineStr">
        <is>
          <t>客户名</t>
        </is>
      </c>
      <c r="C3" s="2" t="inlineStr">
        <is>
          <t>负责销售</t>
        </is>
      </c>
      <c r="D3" s="2" t="inlineStr">
        <is>
          <t>失败日期</t>
        </is>
      </c>
      <c r="E3" s="2" t="inlineStr">
        <is>
          <t>失败类型</t>
        </is>
      </c>
      <c r="F3" s="2" t="inlineStr">
        <is>
          <t>挽回阶段</t>
        </is>
      </c>
      <c r="G3" s="2" t="inlineStr">
        <is>
          <t>启动挽回日期</t>
        </is>
      </c>
      <c r="H3" s="2" t="inlineStr">
        <is>
          <t>预计签约金额(¥)</t>
        </is>
      </c>
      <c r="I3" s="2" t="inlineStr">
        <is>
          <t>实际签约金额(¥)</t>
        </is>
      </c>
      <c r="J3" s="2" t="inlineStr">
        <is>
          <t>备注</t>
        </is>
      </c>
    </row>
    <row r="4">
      <c r="A4" s="4" t="n">
        <v>1</v>
      </c>
      <c r="B4" s="5" t="inlineStr">
        <is>
          <t>邯郸 XX 钢贸</t>
        </is>
      </c>
      <c r="C4" s="5" t="inlineStr">
        <is>
          <t>B1</t>
        </is>
      </c>
      <c r="D4" s="5" t="inlineStr">
        <is>
          <t>2026-03-15</t>
        </is>
      </c>
      <c r="E4" s="5" t="inlineStr">
        <is>
          <t>B价格</t>
        </is>
      </c>
      <c r="F4" s="5" t="inlineStr">
        <is>
          <t>联系中</t>
        </is>
      </c>
      <c r="G4" s="5" t="inlineStr">
        <is>
          <t>2026-06-01</t>
        </is>
      </c>
      <c r="H4" s="6" t="n">
        <v>100000</v>
      </c>
      <c r="I4" s="6" t="inlineStr"/>
      <c r="J4" s="5" t="inlineStr">
        <is>
          <t>降价 + 同行案例</t>
        </is>
      </c>
    </row>
    <row r="5">
      <c r="A5" s="4" t="n">
        <v>2</v>
      </c>
      <c r="B5" s="5" t="n"/>
      <c r="C5" s="5" t="n"/>
      <c r="D5" s="5" t="n"/>
      <c r="E5" s="5" t="n"/>
      <c r="F5" s="5" t="n"/>
      <c r="G5" s="5" t="n"/>
      <c r="H5" s="6" t="n"/>
      <c r="I5" s="6" t="n"/>
      <c r="J5" s="5" t="n"/>
    </row>
    <row r="6">
      <c r="A6" s="4" t="n">
        <v>3</v>
      </c>
      <c r="B6" s="5" t="n"/>
      <c r="C6" s="5" t="n"/>
      <c r="D6" s="5" t="n"/>
      <c r="E6" s="5" t="n"/>
      <c r="F6" s="5" t="n"/>
      <c r="G6" s="5" t="n"/>
      <c r="H6" s="6" t="n"/>
      <c r="I6" s="6" t="n"/>
      <c r="J6" s="5" t="n"/>
    </row>
    <row r="7">
      <c r="A7" s="4" t="n">
        <v>4</v>
      </c>
      <c r="B7" s="5" t="n"/>
      <c r="C7" s="5" t="n"/>
      <c r="D7" s="5" t="n"/>
      <c r="E7" s="5" t="n"/>
      <c r="F7" s="5" t="n"/>
      <c r="G7" s="5" t="n"/>
      <c r="H7" s="6" t="n"/>
      <c r="I7" s="6" t="n"/>
      <c r="J7" s="5" t="n"/>
    </row>
    <row r="8">
      <c r="A8" s="4" t="n">
        <v>5</v>
      </c>
      <c r="B8" s="5" t="n"/>
      <c r="C8" s="5" t="n"/>
      <c r="D8" s="5" t="n"/>
      <c r="E8" s="5" t="n"/>
      <c r="F8" s="5" t="n"/>
      <c r="G8" s="5" t="n"/>
      <c r="H8" s="6" t="n"/>
      <c r="I8" s="6" t="n"/>
      <c r="J8" s="5" t="n"/>
    </row>
    <row r="9">
      <c r="A9" s="4" t="n">
        <v>6</v>
      </c>
      <c r="B9" s="5" t="n"/>
      <c r="C9" s="5" t="n"/>
      <c r="D9" s="5" t="n"/>
      <c r="E9" s="5" t="n"/>
      <c r="F9" s="5" t="n"/>
      <c r="G9" s="5" t="n"/>
      <c r="H9" s="6" t="n"/>
      <c r="I9" s="6" t="n"/>
      <c r="J9" s="5" t="n"/>
    </row>
    <row r="10">
      <c r="A10" s="4" t="n">
        <v>7</v>
      </c>
      <c r="B10" s="5" t="n"/>
      <c r="C10" s="5" t="n"/>
      <c r="D10" s="5" t="n"/>
      <c r="E10" s="5" t="n"/>
      <c r="F10" s="5" t="n"/>
      <c r="G10" s="5" t="n"/>
      <c r="H10" s="6" t="n"/>
      <c r="I10" s="6" t="n"/>
      <c r="J10" s="5" t="n"/>
    </row>
    <row r="11">
      <c r="A11" s="4" t="n">
        <v>8</v>
      </c>
      <c r="B11" s="5" t="n"/>
      <c r="C11" s="5" t="n"/>
      <c r="D11" s="5" t="n"/>
      <c r="E11" s="5" t="n"/>
      <c r="F11" s="5" t="n"/>
      <c r="G11" s="5" t="n"/>
      <c r="H11" s="6" t="n"/>
      <c r="I11" s="6" t="n"/>
      <c r="J11" s="5" t="n"/>
    </row>
    <row r="12">
      <c r="A12" s="4" t="n">
        <v>9</v>
      </c>
      <c r="B12" s="5" t="n"/>
      <c r="C12" s="5" t="n"/>
      <c r="D12" s="5" t="n"/>
      <c r="E12" s="5" t="n"/>
      <c r="F12" s="5" t="n"/>
      <c r="G12" s="5" t="n"/>
      <c r="H12" s="6" t="n"/>
      <c r="I12" s="6" t="n"/>
      <c r="J12" s="5" t="n"/>
    </row>
    <row r="13">
      <c r="A13" s="4" t="n">
        <v>10</v>
      </c>
      <c r="B13" s="5" t="n"/>
      <c r="C13" s="5" t="n"/>
      <c r="D13" s="5" t="n"/>
      <c r="E13" s="5" t="n"/>
      <c r="F13" s="5" t="n"/>
      <c r="G13" s="5" t="n"/>
      <c r="H13" s="6" t="n"/>
      <c r="I13" s="6" t="n"/>
      <c r="J13" s="5" t="n"/>
    </row>
    <row r="14">
      <c r="A14" s="4" t="n">
        <v>11</v>
      </c>
      <c r="B14" s="5" t="n"/>
      <c r="C14" s="5" t="n"/>
      <c r="D14" s="5" t="n"/>
      <c r="E14" s="5" t="n"/>
      <c r="F14" s="5" t="n"/>
      <c r="G14" s="5" t="n"/>
      <c r="H14" s="6" t="n"/>
      <c r="I14" s="6" t="n"/>
      <c r="J14" s="5" t="n"/>
    </row>
    <row r="15">
      <c r="A15" s="4" t="n">
        <v>12</v>
      </c>
      <c r="B15" s="5" t="n"/>
      <c r="C15" s="5" t="n"/>
      <c r="D15" s="5" t="n"/>
      <c r="E15" s="5" t="n"/>
      <c r="F15" s="5" t="n"/>
      <c r="G15" s="5" t="n"/>
      <c r="H15" s="6" t="n"/>
      <c r="I15" s="6" t="n"/>
      <c r="J15" s="5" t="n"/>
    </row>
    <row r="16">
      <c r="A16" s="4" t="n">
        <v>13</v>
      </c>
      <c r="B16" s="5" t="n"/>
      <c r="C16" s="5" t="n"/>
      <c r="D16" s="5" t="n"/>
      <c r="E16" s="5" t="n"/>
      <c r="F16" s="5" t="n"/>
      <c r="G16" s="5" t="n"/>
      <c r="H16" s="6" t="n"/>
      <c r="I16" s="6" t="n"/>
      <c r="J16" s="5" t="n"/>
    </row>
    <row r="17">
      <c r="A17" s="4" t="n">
        <v>14</v>
      </c>
      <c r="B17" s="5" t="n"/>
      <c r="C17" s="5" t="n"/>
      <c r="D17" s="5" t="n"/>
      <c r="E17" s="5" t="n"/>
      <c r="F17" s="5" t="n"/>
      <c r="G17" s="5" t="n"/>
      <c r="H17" s="6" t="n"/>
      <c r="I17" s="6" t="n"/>
      <c r="J17" s="5" t="n"/>
    </row>
    <row r="18">
      <c r="A18" s="4" t="n">
        <v>15</v>
      </c>
      <c r="B18" s="5" t="n"/>
      <c r="C18" s="5" t="n"/>
      <c r="D18" s="5" t="n"/>
      <c r="E18" s="5" t="n"/>
      <c r="F18" s="5" t="n"/>
      <c r="G18" s="5" t="n"/>
      <c r="H18" s="6" t="n"/>
      <c r="I18" s="6" t="n"/>
      <c r="J18" s="5" t="n"/>
    </row>
    <row r="19">
      <c r="A19" s="4" t="n">
        <v>16</v>
      </c>
      <c r="B19" s="5" t="n"/>
      <c r="C19" s="5" t="n"/>
      <c r="D19" s="5" t="n"/>
      <c r="E19" s="5" t="n"/>
      <c r="F19" s="5" t="n"/>
      <c r="G19" s="5" t="n"/>
      <c r="H19" s="6" t="n"/>
      <c r="I19" s="6" t="n"/>
      <c r="J19" s="5" t="n"/>
    </row>
    <row r="20">
      <c r="A20" s="4" t="n">
        <v>17</v>
      </c>
      <c r="B20" s="5" t="n"/>
      <c r="C20" s="5" t="n"/>
      <c r="D20" s="5" t="n"/>
      <c r="E20" s="5" t="n"/>
      <c r="F20" s="5" t="n"/>
      <c r="G20" s="5" t="n"/>
      <c r="H20" s="6" t="n"/>
      <c r="I20" s="6" t="n"/>
      <c r="J20" s="5" t="n"/>
    </row>
    <row r="21">
      <c r="A21" s="4" t="n">
        <v>18</v>
      </c>
      <c r="B21" s="5" t="n"/>
      <c r="C21" s="5" t="n"/>
      <c r="D21" s="5" t="n"/>
      <c r="E21" s="5" t="n"/>
      <c r="F21" s="5" t="n"/>
      <c r="G21" s="5" t="n"/>
      <c r="H21" s="6" t="n"/>
      <c r="I21" s="6" t="n"/>
      <c r="J21" s="5" t="n"/>
    </row>
    <row r="22">
      <c r="A22" s="4" t="n">
        <v>19</v>
      </c>
      <c r="B22" s="5" t="n"/>
      <c r="C22" s="5" t="n"/>
      <c r="D22" s="5" t="n"/>
      <c r="E22" s="5" t="n"/>
      <c r="F22" s="5" t="n"/>
      <c r="G22" s="5" t="n"/>
      <c r="H22" s="6" t="n"/>
      <c r="I22" s="6" t="n"/>
      <c r="J22" s="5" t="n"/>
    </row>
    <row r="23">
      <c r="A23" s="4" t="n">
        <v>20</v>
      </c>
      <c r="B23" s="5" t="n"/>
      <c r="C23" s="5" t="n"/>
      <c r="D23" s="5" t="n"/>
      <c r="E23" s="5" t="n"/>
      <c r="F23" s="5" t="n"/>
      <c r="G23" s="5" t="n"/>
      <c r="H23" s="6" t="n"/>
      <c r="I23" s="6" t="n"/>
      <c r="J23" s="5" t="n"/>
    </row>
    <row r="24">
      <c r="A24" s="4" t="n">
        <v>21</v>
      </c>
      <c r="B24" s="5" t="n"/>
      <c r="C24" s="5" t="n"/>
      <c r="D24" s="5" t="n"/>
      <c r="E24" s="5" t="n"/>
      <c r="F24" s="5" t="n"/>
      <c r="G24" s="5" t="n"/>
      <c r="H24" s="6" t="n"/>
      <c r="I24" s="6" t="n"/>
      <c r="J24" s="5" t="n"/>
    </row>
    <row r="25">
      <c r="A25" s="4" t="n">
        <v>22</v>
      </c>
      <c r="B25" s="5" t="n"/>
      <c r="C25" s="5" t="n"/>
      <c r="D25" s="5" t="n"/>
      <c r="E25" s="5" t="n"/>
      <c r="F25" s="5" t="n"/>
      <c r="G25" s="5" t="n"/>
      <c r="H25" s="6" t="n"/>
      <c r="I25" s="6" t="n"/>
      <c r="J25" s="5" t="n"/>
    </row>
    <row r="26">
      <c r="A26" s="4" t="n">
        <v>23</v>
      </c>
      <c r="B26" s="5" t="n"/>
      <c r="C26" s="5" t="n"/>
      <c r="D26" s="5" t="n"/>
      <c r="E26" s="5" t="n"/>
      <c r="F26" s="5" t="n"/>
      <c r="G26" s="5" t="n"/>
      <c r="H26" s="6" t="n"/>
      <c r="I26" s="6" t="n"/>
      <c r="J26" s="5" t="n"/>
    </row>
    <row r="27">
      <c r="A27" s="4" t="n">
        <v>24</v>
      </c>
      <c r="B27" s="5" t="n"/>
      <c r="C27" s="5" t="n"/>
      <c r="D27" s="5" t="n"/>
      <c r="E27" s="5" t="n"/>
      <c r="F27" s="5" t="n"/>
      <c r="G27" s="5" t="n"/>
      <c r="H27" s="6" t="n"/>
      <c r="I27" s="6" t="n"/>
      <c r="J27" s="5" t="n"/>
    </row>
    <row r="28">
      <c r="A28" s="4" t="n">
        <v>25</v>
      </c>
      <c r="B28" s="5" t="n"/>
      <c r="C28" s="5" t="n"/>
      <c r="D28" s="5" t="n"/>
      <c r="E28" s="5" t="n"/>
      <c r="F28" s="5" t="n"/>
      <c r="G28" s="5" t="n"/>
      <c r="H28" s="6" t="n"/>
      <c r="I28" s="6" t="n"/>
      <c r="J28" s="5" t="n"/>
    </row>
    <row r="29">
      <c r="A29" s="4" t="n">
        <v>26</v>
      </c>
      <c r="B29" s="5" t="n"/>
      <c r="C29" s="5" t="n"/>
      <c r="D29" s="5" t="n"/>
      <c r="E29" s="5" t="n"/>
      <c r="F29" s="5" t="n"/>
      <c r="G29" s="5" t="n"/>
      <c r="H29" s="6" t="n"/>
      <c r="I29" s="6" t="n"/>
      <c r="J29" s="5" t="n"/>
    </row>
    <row r="30">
      <c r="A30" s="4" t="n">
        <v>27</v>
      </c>
      <c r="B30" s="5" t="n"/>
      <c r="C30" s="5" t="n"/>
      <c r="D30" s="5" t="n"/>
      <c r="E30" s="5" t="n"/>
      <c r="F30" s="5" t="n"/>
      <c r="G30" s="5" t="n"/>
      <c r="H30" s="6" t="n"/>
      <c r="I30" s="6" t="n"/>
      <c r="J30" s="5" t="n"/>
    </row>
    <row r="31">
      <c r="A31" s="4" t="n">
        <v>28</v>
      </c>
      <c r="B31" s="5" t="n"/>
      <c r="C31" s="5" t="n"/>
      <c r="D31" s="5" t="n"/>
      <c r="E31" s="5" t="n"/>
      <c r="F31" s="5" t="n"/>
      <c r="G31" s="5" t="n"/>
      <c r="H31" s="6" t="n"/>
      <c r="I31" s="6" t="n"/>
      <c r="J31" s="5" t="n"/>
    </row>
    <row r="32">
      <c r="A32" s="4" t="n">
        <v>29</v>
      </c>
      <c r="B32" s="5" t="n"/>
      <c r="C32" s="5" t="n"/>
      <c r="D32" s="5" t="n"/>
      <c r="E32" s="5" t="n"/>
      <c r="F32" s="5" t="n"/>
      <c r="G32" s="5" t="n"/>
      <c r="H32" s="6" t="n"/>
      <c r="I32" s="6" t="n"/>
      <c r="J32" s="5" t="n"/>
    </row>
    <row r="33">
      <c r="A33" s="4" t="n">
        <v>30</v>
      </c>
      <c r="B33" s="5" t="n"/>
      <c r="C33" s="5" t="n"/>
      <c r="D33" s="5" t="n"/>
      <c r="E33" s="5" t="n"/>
      <c r="F33" s="5" t="n"/>
      <c r="G33" s="5" t="n"/>
      <c r="H33" s="6" t="n"/>
      <c r="I33" s="6" t="n"/>
      <c r="J33" s="5" t="n"/>
    </row>
  </sheetData>
  <mergeCells count="1">
    <mergeCell ref="A1:J1"/>
  </mergeCells>
  <conditionalFormatting sqref="F4:F33">
    <cfRule type="cellIs" priority="1" operator="equal" dxfId="0">
      <formula>"签约成功"</formula>
    </cfRule>
    <cfRule type="cellIs" priority="2" operator="equal" dxfId="1">
      <formula>"挽回失败"</formula>
    </cfRule>
    <cfRule type="cellIs" priority="3" operator="equal" dxfId="2">
      <formula>"POC中"</formula>
    </cfRule>
    <cfRule type="cellIs" priority="4" operator="equal" dxfId="3">
      <formula>"接触成功"</formula>
    </cfRule>
  </conditionalFormatting>
  <dataValidations count="3">
    <dataValidation sqref="E4:E33" showDropDown="0" showInputMessage="0" showErrorMessage="0" allowBlank="1" type="list">
      <formula1>"A时机,B价格,C价值,D关系,E信任,F竞品,G内部"</formula1>
    </dataValidation>
    <dataValidation sqref="F4:F33" showDropDown="0" showInputMessage="0" showErrorMessage="0" allowBlank="1" type="list">
      <formula1>"待启动,联系中,接触成功,POC中,签约成功,挽回失败,永久放弃"</formula1>
    </dataValidation>
    <dataValidation sqref="C4:C33" showDropDown="0" showInputMessage="0" showErrorMessage="0" allowBlank="1" type="list">
      <formula1>"A1,A2,A3,B1,B2,B3,C1,C2,C3"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7 类型挽回漏斗（自动统计）</t>
        </is>
      </c>
    </row>
    <row r="4">
      <c r="B4" s="2" t="inlineStr">
        <is>
          <t>类型</t>
        </is>
      </c>
      <c r="C4" s="2" t="inlineStr">
        <is>
          <t>总失败数</t>
        </is>
      </c>
      <c r="D4" s="2" t="inlineStr">
        <is>
          <t>已启动</t>
        </is>
      </c>
      <c r="E4" s="2" t="inlineStr">
        <is>
          <t>联系中</t>
        </is>
      </c>
      <c r="F4" s="2" t="inlineStr">
        <is>
          <t>POC 中</t>
        </is>
      </c>
      <c r="G4" s="2" t="inlineStr">
        <is>
          <t>签约成功</t>
        </is>
      </c>
      <c r="H4" s="2" t="inlineStr">
        <is>
          <t>挽回失败</t>
        </is>
      </c>
      <c r="I4" s="2" t="inlineStr">
        <is>
          <t>挽回率</t>
        </is>
      </c>
    </row>
    <row r="5">
      <c r="B5" s="7" t="inlineStr">
        <is>
          <t>A时机</t>
        </is>
      </c>
      <c r="C5" s="8">
        <f>COUNTIF('挽回客户主表'!E4:E33,"A时机")</f>
        <v/>
      </c>
      <c r="D5" s="7">
        <f>COUNTIFS('挽回客户主表'!E4:E33,"A时机",'挽回客户主表'!F4:F33,"&lt;&gt;待启动")-COUNTIFS('挽回客户主表'!E4:E33,"A时机",'挽回客户主表'!F4:F33,"")</f>
        <v/>
      </c>
      <c r="E5" s="7">
        <f>COUNTIFS('挽回客户主表'!E4:E33,"A时机",'挽回客户主表'!F4:F33,"联系中")</f>
        <v/>
      </c>
      <c r="F5" s="7">
        <f>COUNTIFS('挽回客户主表'!E4:E33,"A时机",'挽回客户主表'!F4:F33,"POC中")</f>
        <v/>
      </c>
      <c r="G5" s="7">
        <f>COUNTIFS('挽回客户主表'!E4:E33,"A时机",'挽回客户主表'!F4:F33,"签约成功")</f>
        <v/>
      </c>
      <c r="H5" s="7">
        <f>COUNTIFS('挽回客户主表'!E4:E33,"A时机",'挽回客户主表'!F4:F33,"挽回失败")</f>
        <v/>
      </c>
      <c r="I5" s="8" t="inlineStr">
        <is>
          <t>40-60%</t>
        </is>
      </c>
    </row>
    <row r="6">
      <c r="B6" s="4" t="inlineStr">
        <is>
          <t>B价格</t>
        </is>
      </c>
      <c r="C6" s="8">
        <f>COUNTIF('挽回客户主表'!E4:E33,"B价格")</f>
        <v/>
      </c>
      <c r="D6" s="4">
        <f>COUNTIFS('挽回客户主表'!E4:E33,"B价格",'挽回客户主表'!F4:F33,"&lt;&gt;待启动")-COUNTIFS('挽回客户主表'!E4:E33,"B价格",'挽回客户主表'!F4:F33,"")</f>
        <v/>
      </c>
      <c r="E6" s="4">
        <f>COUNTIFS('挽回客户主表'!E4:E33,"B价格",'挽回客户主表'!F4:F33,"联系中")</f>
        <v/>
      </c>
      <c r="F6" s="4">
        <f>COUNTIFS('挽回客户主表'!E4:E33,"B价格",'挽回客户主表'!F4:F33,"POC中")</f>
        <v/>
      </c>
      <c r="G6" s="4">
        <f>COUNTIFS('挽回客户主表'!E4:E33,"B价格",'挽回客户主表'!F4:F33,"签约成功")</f>
        <v/>
      </c>
      <c r="H6" s="4">
        <f>COUNTIFS('挽回客户主表'!E4:E33,"B价格",'挽回客户主表'!F4:F33,"挽回失败")</f>
        <v/>
      </c>
      <c r="I6" s="8" t="inlineStr">
        <is>
          <t>20-30%</t>
        </is>
      </c>
    </row>
    <row r="7">
      <c r="B7" s="7" t="inlineStr">
        <is>
          <t>C价值</t>
        </is>
      </c>
      <c r="C7" s="8">
        <f>COUNTIF('挽回客户主表'!E4:E33,"C价值")</f>
        <v/>
      </c>
      <c r="D7" s="7">
        <f>COUNTIFS('挽回客户主表'!E4:E33,"C价值",'挽回客户主表'!F4:F33,"&lt;&gt;待启动")-COUNTIFS('挽回客户主表'!E4:E33,"C价值",'挽回客户主表'!F4:F33,"")</f>
        <v/>
      </c>
      <c r="E7" s="7">
        <f>COUNTIFS('挽回客户主表'!E4:E33,"C价值",'挽回客户主表'!F4:F33,"联系中")</f>
        <v/>
      </c>
      <c r="F7" s="7">
        <f>COUNTIFS('挽回客户主表'!E4:E33,"C价值",'挽回客户主表'!F4:F33,"POC中")</f>
        <v/>
      </c>
      <c r="G7" s="7">
        <f>COUNTIFS('挽回客户主表'!E4:E33,"C价值",'挽回客户主表'!F4:F33,"签约成功")</f>
        <v/>
      </c>
      <c r="H7" s="7">
        <f>COUNTIFS('挽回客户主表'!E4:E33,"C价值",'挽回客户主表'!F4:F33,"挽回失败")</f>
        <v/>
      </c>
      <c r="I7" s="8" t="inlineStr">
        <is>
          <t>25-35%</t>
        </is>
      </c>
    </row>
    <row r="8">
      <c r="B8" s="4" t="inlineStr">
        <is>
          <t>D关系</t>
        </is>
      </c>
      <c r="C8" s="8">
        <f>COUNTIF('挽回客户主表'!E4:E33,"D关系")</f>
        <v/>
      </c>
      <c r="D8" s="4">
        <f>COUNTIFS('挽回客户主表'!E4:E33,"D关系",'挽回客户主表'!F4:F33,"&lt;&gt;待启动")-COUNTIFS('挽回客户主表'!E4:E33,"D关系",'挽回客户主表'!F4:F33,"")</f>
        <v/>
      </c>
      <c r="E8" s="4">
        <f>COUNTIFS('挽回客户主表'!E4:E33,"D关系",'挽回客户主表'!F4:F33,"联系中")</f>
        <v/>
      </c>
      <c r="F8" s="4">
        <f>COUNTIFS('挽回客户主表'!E4:E33,"D关系",'挽回客户主表'!F4:F33,"POC中")</f>
        <v/>
      </c>
      <c r="G8" s="4">
        <f>COUNTIFS('挽回客户主表'!E4:E33,"D关系",'挽回客户主表'!F4:F33,"签约成功")</f>
        <v/>
      </c>
      <c r="H8" s="4">
        <f>COUNTIFS('挽回客户主表'!E4:E33,"D关系",'挽回客户主表'!F4:F33,"挽回失败")</f>
        <v/>
      </c>
      <c r="I8" s="8" t="inlineStr">
        <is>
          <t>30-40%</t>
        </is>
      </c>
    </row>
    <row r="9">
      <c r="B9" s="7" t="inlineStr">
        <is>
          <t>E信任</t>
        </is>
      </c>
      <c r="C9" s="8">
        <f>COUNTIF('挽回客户主表'!E4:E33,"E信任")</f>
        <v/>
      </c>
      <c r="D9" s="7">
        <f>COUNTIFS('挽回客户主表'!E4:E33,"E信任",'挽回客户主表'!F4:F33,"&lt;&gt;待启动")-COUNTIFS('挽回客户主表'!E4:E33,"E信任",'挽回客户主表'!F4:F33,"")</f>
        <v/>
      </c>
      <c r="E9" s="7">
        <f>COUNTIFS('挽回客户主表'!E4:E33,"E信任",'挽回客户主表'!F4:F33,"联系中")</f>
        <v/>
      </c>
      <c r="F9" s="7">
        <f>COUNTIFS('挽回客户主表'!E4:E33,"E信任",'挽回客户主表'!F4:F33,"POC中")</f>
        <v/>
      </c>
      <c r="G9" s="7">
        <f>COUNTIFS('挽回客户主表'!E4:E33,"E信任",'挽回客户主表'!F4:F33,"签约成功")</f>
        <v/>
      </c>
      <c r="H9" s="7">
        <f>COUNTIFS('挽回客户主表'!E4:E33,"E信任",'挽回客户主表'!F4:F33,"挽回失败")</f>
        <v/>
      </c>
      <c r="I9" s="8" t="inlineStr">
        <is>
          <t>15-20%</t>
        </is>
      </c>
    </row>
    <row r="10">
      <c r="B10" s="4" t="inlineStr">
        <is>
          <t>F竞品</t>
        </is>
      </c>
      <c r="C10" s="8">
        <f>COUNTIF('挽回客户主表'!E4:E33,"F竞品")</f>
        <v/>
      </c>
      <c r="D10" s="4">
        <f>COUNTIFS('挽回客户主表'!E4:E33,"F竞品",'挽回客户主表'!F4:F33,"&lt;&gt;待启动")-COUNTIFS('挽回客户主表'!E4:E33,"F竞品",'挽回客户主表'!F4:F33,"")</f>
        <v/>
      </c>
      <c r="E10" s="4">
        <f>COUNTIFS('挽回客户主表'!E4:E33,"F竞品",'挽回客户主表'!F4:F33,"联系中")</f>
        <v/>
      </c>
      <c r="F10" s="4">
        <f>COUNTIFS('挽回客户主表'!E4:E33,"F竞品",'挽回客户主表'!F4:F33,"POC中")</f>
        <v/>
      </c>
      <c r="G10" s="4">
        <f>COUNTIFS('挽回客户主表'!E4:E33,"F竞品",'挽回客户主表'!F4:F33,"签约成功")</f>
        <v/>
      </c>
      <c r="H10" s="4">
        <f>COUNTIFS('挽回客户主表'!E4:E33,"F竞品",'挽回客户主表'!F4:F33,"挽回失败")</f>
        <v/>
      </c>
      <c r="I10" s="8" t="inlineStr">
        <is>
          <t>5-10%</t>
        </is>
      </c>
    </row>
    <row r="11">
      <c r="B11" s="7" t="inlineStr">
        <is>
          <t>G内部</t>
        </is>
      </c>
      <c r="C11" s="8">
        <f>COUNTIF('挽回客户主表'!E4:E33,"G内部")</f>
        <v/>
      </c>
      <c r="D11" s="7">
        <f>COUNTIFS('挽回客户主表'!E4:E33,"G内部",'挽回客户主表'!F4:F33,"&lt;&gt;待启动")-COUNTIFS('挽回客户主表'!E4:E33,"G内部",'挽回客户主表'!F4:F33,"")</f>
        <v/>
      </c>
      <c r="E11" s="7">
        <f>COUNTIFS('挽回客户主表'!E4:E33,"G内部",'挽回客户主表'!F4:F33,"联系中")</f>
        <v/>
      </c>
      <c r="F11" s="7">
        <f>COUNTIFS('挽回客户主表'!E4:E33,"G内部",'挽回客户主表'!F4:F33,"POC中")</f>
        <v/>
      </c>
      <c r="G11" s="7">
        <f>COUNTIFS('挽回客户主表'!E4:E33,"G内部",'挽回客户主表'!F4:F33,"签约成功")</f>
        <v/>
      </c>
      <c r="H11" s="7">
        <f>COUNTIFS('挽回客户主表'!E4:E33,"G内部",'挽回客户主表'!F4:F33,"挽回失败")</f>
        <v/>
      </c>
      <c r="I11" s="8" t="inlineStr">
        <is>
          <t>15-25%</t>
        </is>
      </c>
    </row>
    <row r="12">
      <c r="B12" s="2" t="inlineStr">
        <is>
          <t>合计</t>
        </is>
      </c>
      <c r="C12" s="2">
        <f>SUM(C5:C11)</f>
        <v/>
      </c>
      <c r="D12" s="2">
        <f>SUM(D5:D11)</f>
        <v/>
      </c>
      <c r="E12" s="2">
        <f>SUM(E5:E11)</f>
        <v/>
      </c>
      <c r="F12" s="2">
        <f>SUM(F5:F11)</f>
        <v/>
      </c>
      <c r="G12" s="2">
        <f>SUM(G5:G11)</f>
        <v/>
      </c>
      <c r="H12" s="2">
        <f>SUM(H5:H11)</f>
        <v/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9 销售个人挽回数据</t>
        </is>
      </c>
    </row>
    <row r="4">
      <c r="B4" s="2" t="inlineStr">
        <is>
          <t>销售</t>
        </is>
      </c>
      <c r="C4" s="2" t="inlineStr">
        <is>
          <t>失败客户数</t>
        </is>
      </c>
      <c r="D4" s="2" t="inlineStr">
        <is>
          <t>已启动挽回</t>
        </is>
      </c>
      <c r="E4" s="2" t="inlineStr">
        <is>
          <t>签约成功</t>
        </is>
      </c>
      <c r="F4" s="2" t="inlineStr">
        <is>
          <t>挽回失败</t>
        </is>
      </c>
      <c r="G4" s="2" t="inlineStr">
        <is>
          <t>挽回率</t>
        </is>
      </c>
      <c r="H4" s="2" t="inlineStr">
        <is>
          <t>签约金额(¥)</t>
        </is>
      </c>
    </row>
    <row r="5">
      <c r="B5" s="7" t="inlineStr">
        <is>
          <t>A1</t>
        </is>
      </c>
      <c r="C5" s="9">
        <f>COUNTIF('挽回客户主表'!C4:C33,"A1")</f>
        <v/>
      </c>
      <c r="D5" s="9">
        <f>COUNTIFS('挽回客户主表'!C4:C33,"A1",'挽回客户主表'!F4:F33,"&lt;&gt;待启动")-COUNTIFS('挽回客户主表'!C4:C33,"A1",'挽回客户主表'!F4:F33,"")</f>
        <v/>
      </c>
      <c r="E5" s="8">
        <f>COUNTIFS('挽回客户主表'!C4:C33,"A1",'挽回客户主表'!F4:F33,"签约成功")</f>
        <v/>
      </c>
      <c r="F5" s="10">
        <f>COUNTIFS('挽回客户主表'!C4:C33,"A1",'挽回客户主表'!F4:F33,"挽回失败")</f>
        <v/>
      </c>
      <c r="G5" s="11">
        <f>IFERROR(E5/C5,0)</f>
        <v/>
      </c>
      <c r="H5" s="12">
        <f>SUMIFS('挽回客户主表'!I4:I33,'挽回客户主表'!C4:C33,"A1")</f>
        <v/>
      </c>
    </row>
    <row r="6">
      <c r="B6" s="4" t="inlineStr">
        <is>
          <t>A2</t>
        </is>
      </c>
      <c r="C6" s="13">
        <f>COUNTIF('挽回客户主表'!C4:C33,"A2")</f>
        <v/>
      </c>
      <c r="D6" s="13">
        <f>COUNTIFS('挽回客户主表'!C4:C33,"A2",'挽回客户主表'!F4:F33,"&lt;&gt;待启动")-COUNTIFS('挽回客户主表'!C4:C33,"A2",'挽回客户主表'!F4:F33,"")</f>
        <v/>
      </c>
      <c r="E6" s="8">
        <f>COUNTIFS('挽回客户主表'!C4:C33,"A2",'挽回客户主表'!F4:F33,"签约成功")</f>
        <v/>
      </c>
      <c r="F6" s="10">
        <f>COUNTIFS('挽回客户主表'!C4:C33,"A2",'挽回客户主表'!F4:F33,"挽回失败")</f>
        <v/>
      </c>
      <c r="G6" s="11">
        <f>IFERROR(E6/C6,0)</f>
        <v/>
      </c>
      <c r="H6" s="12">
        <f>SUMIFS('挽回客户主表'!I4:I33,'挽回客户主表'!C4:C33,"A2")</f>
        <v/>
      </c>
    </row>
    <row r="7">
      <c r="B7" s="7" t="inlineStr">
        <is>
          <t>A3</t>
        </is>
      </c>
      <c r="C7" s="9">
        <f>COUNTIF('挽回客户主表'!C4:C33,"A3")</f>
        <v/>
      </c>
      <c r="D7" s="9">
        <f>COUNTIFS('挽回客户主表'!C4:C33,"A3",'挽回客户主表'!F4:F33,"&lt;&gt;待启动")-COUNTIFS('挽回客户主表'!C4:C33,"A3",'挽回客户主表'!F4:F33,"")</f>
        <v/>
      </c>
      <c r="E7" s="8">
        <f>COUNTIFS('挽回客户主表'!C4:C33,"A3",'挽回客户主表'!F4:F33,"签约成功")</f>
        <v/>
      </c>
      <c r="F7" s="10">
        <f>COUNTIFS('挽回客户主表'!C4:C33,"A3",'挽回客户主表'!F4:F33,"挽回失败")</f>
        <v/>
      </c>
      <c r="G7" s="11">
        <f>IFERROR(E7/C7,0)</f>
        <v/>
      </c>
      <c r="H7" s="12">
        <f>SUMIFS('挽回客户主表'!I4:I33,'挽回客户主表'!C4:C33,"A3")</f>
        <v/>
      </c>
    </row>
    <row r="8">
      <c r="B8" s="4" t="inlineStr">
        <is>
          <t>B1</t>
        </is>
      </c>
      <c r="C8" s="13">
        <f>COUNTIF('挽回客户主表'!C4:C33,"B1")</f>
        <v/>
      </c>
      <c r="D8" s="13">
        <f>COUNTIFS('挽回客户主表'!C4:C33,"B1",'挽回客户主表'!F4:F33,"&lt;&gt;待启动")-COUNTIFS('挽回客户主表'!C4:C33,"B1",'挽回客户主表'!F4:F33,"")</f>
        <v/>
      </c>
      <c r="E8" s="8">
        <f>COUNTIFS('挽回客户主表'!C4:C33,"B1",'挽回客户主表'!F4:F33,"签约成功")</f>
        <v/>
      </c>
      <c r="F8" s="10">
        <f>COUNTIFS('挽回客户主表'!C4:C33,"B1",'挽回客户主表'!F4:F33,"挽回失败")</f>
        <v/>
      </c>
      <c r="G8" s="11">
        <f>IFERROR(E8/C8,0)</f>
        <v/>
      </c>
      <c r="H8" s="12">
        <f>SUMIFS('挽回客户主表'!I4:I33,'挽回客户主表'!C4:C33,"B1")</f>
        <v/>
      </c>
    </row>
    <row r="9">
      <c r="B9" s="7" t="inlineStr">
        <is>
          <t>B2</t>
        </is>
      </c>
      <c r="C9" s="9">
        <f>COUNTIF('挽回客户主表'!C4:C33,"B2")</f>
        <v/>
      </c>
      <c r="D9" s="9">
        <f>COUNTIFS('挽回客户主表'!C4:C33,"B2",'挽回客户主表'!F4:F33,"&lt;&gt;待启动")-COUNTIFS('挽回客户主表'!C4:C33,"B2",'挽回客户主表'!F4:F33,"")</f>
        <v/>
      </c>
      <c r="E9" s="8">
        <f>COUNTIFS('挽回客户主表'!C4:C33,"B2",'挽回客户主表'!F4:F33,"签约成功")</f>
        <v/>
      </c>
      <c r="F9" s="10">
        <f>COUNTIFS('挽回客户主表'!C4:C33,"B2",'挽回客户主表'!F4:F33,"挽回失败")</f>
        <v/>
      </c>
      <c r="G9" s="11">
        <f>IFERROR(E9/C9,0)</f>
        <v/>
      </c>
      <c r="H9" s="12">
        <f>SUMIFS('挽回客户主表'!I4:I33,'挽回客户主表'!C4:C33,"B2")</f>
        <v/>
      </c>
    </row>
    <row r="10">
      <c r="B10" s="4" t="inlineStr">
        <is>
          <t>B3</t>
        </is>
      </c>
      <c r="C10" s="13">
        <f>COUNTIF('挽回客户主表'!C4:C33,"B3")</f>
        <v/>
      </c>
      <c r="D10" s="13">
        <f>COUNTIFS('挽回客户主表'!C4:C33,"B3",'挽回客户主表'!F4:F33,"&lt;&gt;待启动")-COUNTIFS('挽回客户主表'!C4:C33,"B3",'挽回客户主表'!F4:F33,"")</f>
        <v/>
      </c>
      <c r="E10" s="8">
        <f>COUNTIFS('挽回客户主表'!C4:C33,"B3",'挽回客户主表'!F4:F33,"签约成功")</f>
        <v/>
      </c>
      <c r="F10" s="10">
        <f>COUNTIFS('挽回客户主表'!C4:C33,"B3",'挽回客户主表'!F4:F33,"挽回失败")</f>
        <v/>
      </c>
      <c r="G10" s="11">
        <f>IFERROR(E10/C10,0)</f>
        <v/>
      </c>
      <c r="H10" s="12">
        <f>SUMIFS('挽回客户主表'!I4:I33,'挽回客户主表'!C4:C33,"B3")</f>
        <v/>
      </c>
    </row>
    <row r="11">
      <c r="B11" s="7" t="inlineStr">
        <is>
          <t>C1</t>
        </is>
      </c>
      <c r="C11" s="9">
        <f>COUNTIF('挽回客户主表'!C4:C33,"C1")</f>
        <v/>
      </c>
      <c r="D11" s="9">
        <f>COUNTIFS('挽回客户主表'!C4:C33,"C1",'挽回客户主表'!F4:F33,"&lt;&gt;待启动")-COUNTIFS('挽回客户主表'!C4:C33,"C1",'挽回客户主表'!F4:F33,"")</f>
        <v/>
      </c>
      <c r="E11" s="8">
        <f>COUNTIFS('挽回客户主表'!C4:C33,"C1",'挽回客户主表'!F4:F33,"签约成功")</f>
        <v/>
      </c>
      <c r="F11" s="10">
        <f>COUNTIFS('挽回客户主表'!C4:C33,"C1",'挽回客户主表'!F4:F33,"挽回失败")</f>
        <v/>
      </c>
      <c r="G11" s="11">
        <f>IFERROR(E11/C11,0)</f>
        <v/>
      </c>
      <c r="H11" s="12">
        <f>SUMIFS('挽回客户主表'!I4:I33,'挽回客户主表'!C4:C33,"C1")</f>
        <v/>
      </c>
    </row>
    <row r="12">
      <c r="B12" s="4" t="inlineStr">
        <is>
          <t>C2</t>
        </is>
      </c>
      <c r="C12" s="13">
        <f>COUNTIF('挽回客户主表'!C4:C33,"C2")</f>
        <v/>
      </c>
      <c r="D12" s="13">
        <f>COUNTIFS('挽回客户主表'!C4:C33,"C2",'挽回客户主表'!F4:F33,"&lt;&gt;待启动")-COUNTIFS('挽回客户主表'!C4:C33,"C2",'挽回客户主表'!F4:F33,"")</f>
        <v/>
      </c>
      <c r="E12" s="8">
        <f>COUNTIFS('挽回客户主表'!C4:C33,"C2",'挽回客户主表'!F4:F33,"签约成功")</f>
        <v/>
      </c>
      <c r="F12" s="10">
        <f>COUNTIFS('挽回客户主表'!C4:C33,"C2",'挽回客户主表'!F4:F33,"挽回失败")</f>
        <v/>
      </c>
      <c r="G12" s="11">
        <f>IFERROR(E12/C12,0)</f>
        <v/>
      </c>
      <c r="H12" s="12">
        <f>SUMIFS('挽回客户主表'!I4:I33,'挽回客户主表'!C4:C33,"C2")</f>
        <v/>
      </c>
    </row>
    <row r="13">
      <c r="B13" s="7" t="inlineStr">
        <is>
          <t>C3</t>
        </is>
      </c>
      <c r="C13" s="9">
        <f>COUNTIF('挽回客户主表'!C4:C33,"C3")</f>
        <v/>
      </c>
      <c r="D13" s="9">
        <f>COUNTIFS('挽回客户主表'!C4:C33,"C3",'挽回客户主表'!F4:F33,"&lt;&gt;待启动")-COUNTIFS('挽回客户主表'!C4:C33,"C3",'挽回客户主表'!F4:F33,"")</f>
        <v/>
      </c>
      <c r="E13" s="8">
        <f>COUNTIFS('挽回客户主表'!C4:C33,"C3",'挽回客户主表'!F4:F33,"签约成功")</f>
        <v/>
      </c>
      <c r="F13" s="10">
        <f>COUNTIFS('挽回客户主表'!C4:C33,"C3",'挽回客户主表'!F4:F33,"挽回失败")</f>
        <v/>
      </c>
      <c r="G13" s="11">
        <f>IFERROR(E13/C13,0)</f>
        <v/>
      </c>
      <c r="H13" s="12">
        <f>SUMIFS('挽回客户主表'!I4:I33,'挽回客户主表'!C4:C33,"C3")</f>
        <v/>
      </c>
    </row>
    <row r="14">
      <c r="B14" s="2" t="inlineStr">
        <is>
          <t>合计</t>
        </is>
      </c>
      <c r="C14" s="2">
        <f>SUM(C5:C13)</f>
        <v/>
      </c>
      <c r="D14" s="2">
        <f>SUM(D5:D13)</f>
        <v/>
      </c>
      <c r="E14" s="2">
        <f>SUM(E5:E13)</f>
        <v/>
      </c>
      <c r="F14" s="2">
        <f>SUM(F5:F13)</f>
        <v/>
      </c>
      <c r="H14" s="14">
        <f>SUM(H5:H13)</f>
        <v/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月度挽回趋势</t>
        </is>
      </c>
    </row>
    <row r="4">
      <c r="B4" s="2" t="inlineStr">
        <is>
          <t>指标</t>
        </is>
      </c>
      <c r="C4" s="2" t="inlineStr">
        <is>
          <t>M1</t>
        </is>
      </c>
      <c r="D4" s="2" t="inlineStr">
        <is>
          <t>M2</t>
        </is>
      </c>
      <c r="E4" s="2" t="inlineStr">
        <is>
          <t>M3</t>
        </is>
      </c>
      <c r="F4" s="2" t="inlineStr">
        <is>
          <t>3 月累计</t>
        </is>
      </c>
    </row>
    <row r="5">
      <c r="B5" s="15" t="inlineStr">
        <is>
          <t>新增失败客户</t>
        </is>
      </c>
      <c r="C5" s="16" t="n"/>
      <c r="D5" s="16" t="n"/>
      <c r="E5" s="16" t="n"/>
      <c r="F5" s="8">
        <f>SUM(C5:E5)</f>
        <v/>
      </c>
    </row>
    <row r="6">
      <c r="B6" s="15" t="inlineStr">
        <is>
          <t>启动挽回数</t>
        </is>
      </c>
      <c r="C6" s="16" t="n"/>
      <c r="D6" s="16" t="n"/>
      <c r="E6" s="16" t="n"/>
      <c r="F6" s="8">
        <f>SUM(C6:E6)</f>
        <v/>
      </c>
    </row>
    <row r="7">
      <c r="B7" s="15" t="inlineStr">
        <is>
          <t>联系成功数</t>
        </is>
      </c>
      <c r="C7" s="16" t="n"/>
      <c r="D7" s="16" t="n"/>
      <c r="E7" s="16" t="n"/>
      <c r="F7" s="8">
        <f>SUM(C7:E7)</f>
        <v/>
      </c>
    </row>
    <row r="8">
      <c r="B8" s="15" t="inlineStr">
        <is>
          <t>POC 启动数</t>
        </is>
      </c>
      <c r="C8" s="16" t="n"/>
      <c r="D8" s="16" t="n"/>
      <c r="E8" s="16" t="n"/>
      <c r="F8" s="8">
        <f>SUM(C8:E8)</f>
        <v/>
      </c>
    </row>
    <row r="9">
      <c r="B9" s="15" t="inlineStr">
        <is>
          <t>签约成功数</t>
        </is>
      </c>
      <c r="C9" s="16" t="n"/>
      <c r="D9" s="16" t="n"/>
      <c r="E9" s="16" t="n"/>
      <c r="F9" s="8">
        <f>SUM(C9:E9)</f>
        <v/>
      </c>
    </row>
    <row r="10">
      <c r="B10" s="15" t="inlineStr">
        <is>
          <t>签约金额(¥)</t>
        </is>
      </c>
      <c r="C10" s="17" t="n"/>
      <c r="D10" s="17" t="n"/>
      <c r="E10" s="17" t="n"/>
      <c r="F10" s="12">
        <f>SUM(C10:E10)</f>
        <v/>
      </c>
    </row>
    <row r="11">
      <c r="B11" s="15" t="inlineStr">
        <is>
          <t>投入成本(¥)</t>
        </is>
      </c>
      <c r="C11" s="17" t="n"/>
      <c r="D11" s="17" t="n"/>
      <c r="E11" s="17" t="n"/>
      <c r="F11" s="12">
        <f>SUM(C11:E11)</f>
        <v/>
      </c>
    </row>
    <row r="12">
      <c r="B12" s="15" t="inlineStr">
        <is>
          <t>净收益(¥)</t>
        </is>
      </c>
      <c r="C12" s="17" t="n"/>
      <c r="D12" s="17" t="n"/>
      <c r="E12" s="17" t="n"/>
      <c r="F12" s="12">
        <f>SUM(C12:E12)</f>
        <v/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7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24" customWidth="1" min="6" max="6"/>
  </cols>
  <sheetData>
    <row r="2">
      <c r="B2" s="1" t="inlineStr">
        <is>
          <t>挽回 ROI 测算</t>
        </is>
      </c>
    </row>
    <row r="4">
      <c r="B4" s="2" t="inlineStr">
        <is>
          <t>指标</t>
        </is>
      </c>
      <c r="C4" s="2" t="inlineStr">
        <is>
          <t>挽回</t>
        </is>
      </c>
      <c r="D4" s="2" t="inlineStr">
        <is>
          <t>新客户</t>
        </is>
      </c>
      <c r="E4" s="2" t="inlineStr">
        <is>
          <t>对比</t>
        </is>
      </c>
      <c r="F4" s="2" t="inlineStr">
        <is>
          <t>结论</t>
        </is>
      </c>
    </row>
    <row r="5">
      <c r="B5" s="15" t="inlineStr">
        <is>
          <t>CAC 单客成本(¥)</t>
        </is>
      </c>
      <c r="C5" s="12" t="n">
        <v>9000</v>
      </c>
      <c r="D5" s="18" t="n">
        <v>40000</v>
      </c>
      <c r="E5" s="19">
        <f>D5/C5</f>
        <v/>
      </c>
      <c r="F5" s="20" t="inlineStr">
        <is>
          <t>挽回成本 = 1/4</t>
        </is>
      </c>
    </row>
    <row r="6">
      <c r="B6" s="15" t="inlineStr">
        <is>
          <t>平均客单价(¥)</t>
        </is>
      </c>
      <c r="C6" s="12" t="n">
        <v>100000</v>
      </c>
      <c r="D6" s="18" t="n">
        <v>100000</v>
      </c>
      <c r="E6" s="19" t="n">
        <v>1</v>
      </c>
      <c r="F6" s="20" t="inlineStr">
        <is>
          <t>一致</t>
        </is>
      </c>
    </row>
    <row r="7">
      <c r="B7" s="15" t="inlineStr">
        <is>
          <t>转化率</t>
        </is>
      </c>
      <c r="C7" s="11" t="n">
        <v>0.2</v>
      </c>
      <c r="D7" s="21" t="n">
        <v>0.07000000000000001</v>
      </c>
      <c r="E7" s="19">
        <f>C7/D7</f>
        <v/>
      </c>
      <c r="F7" s="20" t="inlineStr">
        <is>
          <t>挽回成功率 = 2.9x</t>
        </is>
      </c>
    </row>
    <row r="8">
      <c r="B8" s="15" t="inlineStr">
        <is>
          <t>ROI</t>
        </is>
      </c>
      <c r="C8" s="8">
        <f>C6/C5</f>
        <v/>
      </c>
      <c r="D8" s="4">
        <f>D6/D5</f>
        <v/>
      </c>
      <c r="E8" s="19">
        <f>C8/D8</f>
        <v/>
      </c>
      <c r="F8" s="20" t="inlineStr">
        <is>
          <t>挽回 ROI = 3-5x</t>
        </is>
      </c>
    </row>
    <row r="10">
      <c r="B10" s="22" t="inlineStr">
        <is>
          <t>▼ 30 个失败客户的预期收益</t>
        </is>
      </c>
    </row>
    <row r="11">
      <c r="B11" s="15" t="inlineStr">
        <is>
          <t>30 个失败客户中『启动挽回』数</t>
        </is>
      </c>
      <c r="C11" s="8" t="n">
        <v>25</v>
      </c>
    </row>
    <row r="12">
      <c r="B12" s="15" t="inlineStr">
        <is>
          <t>预期签约客户（20% 挽回率）</t>
        </is>
      </c>
      <c r="C12" s="8" t="n">
        <v>5</v>
      </c>
    </row>
    <row r="13">
      <c r="B13" s="15" t="inlineStr">
        <is>
          <t>平均签约金额(¥)</t>
        </is>
      </c>
      <c r="C13" s="12" t="n">
        <v>100000</v>
      </c>
    </row>
    <row r="14">
      <c r="B14" s="15" t="inlineStr">
        <is>
          <t>预期总签约金额(¥)</t>
        </is>
      </c>
      <c r="C14" s="12">
        <f>C12*C13</f>
        <v/>
      </c>
    </row>
    <row r="15">
      <c r="B15" s="15" t="inlineStr">
        <is>
          <t>投入成本（¥9,000 × 25）</t>
        </is>
      </c>
      <c r="C15" s="12">
        <f>25*9000</f>
        <v/>
      </c>
    </row>
    <row r="16">
      <c r="B16" s="15" t="inlineStr">
        <is>
          <t>净收益(¥)</t>
        </is>
      </c>
      <c r="C16" s="12">
        <f>C14-C15</f>
        <v/>
      </c>
    </row>
    <row r="17">
      <c r="B17" s="15" t="inlineStr">
        <is>
          <t>ROI</t>
        </is>
      </c>
      <c r="C17" s="23">
        <f>C14/C15</f>
        <v/>
      </c>
    </row>
  </sheetData>
  <mergeCells count="2">
    <mergeCell ref="B2:F2"/>
    <mergeCell ref="B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2026-06-14T02:26:37Z</dcterms:created>
  <dcterms:modified xsi:type="dcterms:W3CDTF">2026-06-14T02:26:37Z</dcterms:modified>
</cp:coreProperties>
</file>