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评分维度参考" sheetId="2" state="visible" r:id="rId2"/>
    <sheet name="30家候选评分" sheetId="3" state="visible" r:id="rId3"/>
    <sheet name="等级分布" sheetId="4" state="visible" r:id="rId4"/>
    <sheet name="推进进度看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9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9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00B050"/>
        </patternFill>
      </fill>
    </dxf>
    <dxf>
      <fill>
        <patternFill patternType="solid">
          <fgColor rgb="0092D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>
      <c r="B2" s="1" t="inlineStr">
        <is>
          <t>灯塔厂候选 30 家评分表（v1.0）</t>
        </is>
      </c>
    </row>
    <row r="4" ht="40" customHeight="1">
      <c r="B4" s="2" t="inlineStr">
        <is>
          <t>适用对象</t>
        </is>
      </c>
      <c r="C4" s="3" t="inlineStr">
        <is>
          <t>老板 + 2 销售总监 + 销售运营经理</t>
        </is>
      </c>
    </row>
    <row r="5" ht="92.39999999999999" customHeight="1">
      <c r="B5" s="2" t="inlineStr">
        <is>
          <t>使用步骤</t>
        </is>
      </c>
      <c r="C5" s="3" t="inlineStr">
        <is>
          <t>① 打开『30 家候选评分』sheet，黄色单元格填写客户基本信息
② 黄色 10 列评分（每维度 1-5 分）由老板、A 总监、B 总监 3 人独立打分再平均
③ 绿色单元格自动计算总分 + 等级（S/A/B/C）
④ 切换『等级分布』『推进进度看板』看自动统计</t>
        </is>
      </c>
    </row>
    <row r="6" ht="71.39999999999999" customHeight="1">
      <c r="B6" s="2" t="inlineStr">
        <is>
          <t>评分铁律</t>
        </is>
      </c>
      <c r="C6" s="3" t="inlineStr">
        <is>
          <t>1. 每家候选必须满足『3 不要』后才能进表
2. 评分由 3 人独立打分平均，避免单人主观
3. S 级（≥80）老板亲自跑；A 级（65-79）销售总监主跟
4. 30 家里争取 ≥6 家 S/A 级</t>
        </is>
      </c>
    </row>
    <row r="7" ht="52.5" customHeight="1">
      <c r="B7" s="2" t="inlineStr">
        <is>
          <t>时间节点</t>
        </is>
      </c>
      <c r="C7" s="3" t="inlineStr">
        <is>
          <t>W1 周一-周四：列初版 30 家草稿
W1 周五：评分定稿
W2-W3：S 级老板亲自跑、A 级销售总监跑
W3-W4：第 1 家灯塔厂签约 POC</t>
        </is>
      </c>
    </row>
    <row r="8" ht="56" customHeight="1">
      <c r="B8" s="2" t="inlineStr">
        <is>
          <t>注意事项</t>
        </is>
      </c>
      <c r="C8" s="3" t="inlineStr">
        <is>
          <t>1. 黄色 = 输入；绿色 = 自动；蓝色 = 表头
2. 修改评分立即看到等级变化
3. 每周一战报会更新『当前进度』+『下次跟进日期』
4. 每月一次重排序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4" customWidth="1" min="4" max="4"/>
    <col width="2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2">
      <c r="B2" s="1" t="inlineStr">
        <is>
          <t>10 个评分维度参考（评分时对照本页）</t>
        </is>
      </c>
    </row>
    <row r="4">
      <c r="B4" s="2" t="inlineStr">
        <is>
          <t>维度</t>
        </is>
      </c>
      <c r="C4" s="2" t="inlineStr">
        <is>
          <t>权重</t>
        </is>
      </c>
      <c r="D4" s="2" t="inlineStr">
        <is>
          <t>5 分</t>
        </is>
      </c>
      <c r="E4" s="2" t="inlineStr">
        <is>
          <t>4 分</t>
        </is>
      </c>
      <c r="F4" s="2" t="inlineStr">
        <is>
          <t>3 分</t>
        </is>
      </c>
      <c r="G4" s="2" t="inlineStr">
        <is>
          <t>2 分</t>
        </is>
      </c>
      <c r="H4" s="2" t="inlineStr">
        <is>
          <t>1 分</t>
        </is>
      </c>
    </row>
    <row r="5" ht="36" customHeight="1">
      <c r="B5" s="4" t="inlineStr">
        <is>
          <t>① 老板年龄段</t>
        </is>
      </c>
      <c r="C5" s="5" t="n">
        <v>2</v>
      </c>
      <c r="D5" s="6" t="inlineStr">
        <is>
          <t>40-55 岁</t>
        </is>
      </c>
      <c r="E5" s="6" t="inlineStr">
        <is>
          <t>35-39</t>
        </is>
      </c>
      <c r="F5" s="6" t="inlineStr">
        <is>
          <t>56-60</t>
        </is>
      </c>
      <c r="G5" s="6" t="inlineStr">
        <is>
          <t>≥61</t>
        </is>
      </c>
      <c r="H5" s="6" t="inlineStr">
        <is>
          <t>≥65（不选）</t>
        </is>
      </c>
    </row>
    <row r="6" ht="36" customHeight="1">
      <c r="B6" s="7" t="inlineStr">
        <is>
          <t>② 老板出镜意愿</t>
        </is>
      </c>
      <c r="C6" s="5" t="n">
        <v>2</v>
      </c>
      <c r="D6" s="8" t="inlineStr">
        <is>
          <t>已有抖音/视频号</t>
        </is>
      </c>
      <c r="E6" s="8" t="inlineStr">
        <is>
          <t>愿出镜需包装</t>
        </is>
      </c>
      <c r="F6" s="8" t="inlineStr">
        <is>
          <t>勉强同意</t>
        </is>
      </c>
      <c r="G6" s="8" t="inlineStr">
        <is>
          <t>极不情愿</t>
        </is>
      </c>
      <c r="H6" s="8" t="inlineStr">
        <is>
          <t>明确拒绝</t>
        </is>
      </c>
    </row>
    <row r="7" ht="36" customHeight="1">
      <c r="B7" s="4" t="inlineStr">
        <is>
          <t>③ 厂区可看度</t>
        </is>
      </c>
      <c r="C7" s="5" t="n">
        <v>1</v>
      </c>
      <c r="D7" s="6" t="inlineStr">
        <is>
          <t>示范工厂</t>
        </is>
      </c>
      <c r="E7" s="6" t="inlineStr">
        <is>
          <t>整洁先进</t>
        </is>
      </c>
      <c r="F7" s="6" t="inlineStr">
        <is>
          <t>标准车间</t>
        </is>
      </c>
      <c r="G7" s="6" t="inlineStr">
        <is>
          <t>偏脏乱</t>
        </is>
      </c>
      <c r="H7" s="6" t="inlineStr">
        <is>
          <t>完全不能拍</t>
        </is>
      </c>
    </row>
    <row r="8" ht="36" customHeight="1">
      <c r="B8" s="7" t="inlineStr">
        <is>
          <t>④ 产业带地位</t>
        </is>
      </c>
      <c r="C8" s="5" t="n">
        <v>2</v>
      </c>
      <c r="D8" s="8" t="inlineStr">
        <is>
          <t>前 3 协会副会长级</t>
        </is>
      </c>
      <c r="E8" s="8" t="inlineStr">
        <is>
          <t>前 10</t>
        </is>
      </c>
      <c r="F8" s="8" t="inlineStr">
        <is>
          <t>中等知名</t>
        </is>
      </c>
      <c r="G8" s="8" t="inlineStr">
        <is>
          <t>本地圈知道</t>
        </is>
      </c>
      <c r="H8" s="8" t="inlineStr">
        <is>
          <t>默默无闻</t>
        </is>
      </c>
    </row>
    <row r="9" ht="36" customHeight="1">
      <c r="B9" s="4" t="inlineStr">
        <is>
          <t>⑤ 年产值规模</t>
        </is>
      </c>
      <c r="C9" s="5" t="n">
        <v>2</v>
      </c>
      <c r="D9" s="6" t="inlineStr">
        <is>
          <t>5-30 亿</t>
        </is>
      </c>
      <c r="E9" s="6" t="inlineStr">
        <is>
          <t>3-5 或 30-50 亿</t>
        </is>
      </c>
      <c r="F9" s="6" t="inlineStr">
        <is>
          <t>1-3 或 50-100 亿</t>
        </is>
      </c>
      <c r="G9" s="6" t="inlineStr">
        <is>
          <t>&lt;1 或 &gt;100 亿</t>
        </is>
      </c>
      <c r="H9" s="6" t="inlineStr">
        <is>
          <t>极端</t>
        </is>
      </c>
    </row>
    <row r="10" ht="36" customHeight="1">
      <c r="B10" s="7" t="inlineStr">
        <is>
          <t>⑥ 客户结构</t>
        </is>
      </c>
      <c r="C10" s="5" t="n">
        <v>2</v>
      </c>
      <c r="D10" s="8" t="inlineStr">
        <is>
          <t>出口/汽车/家电≥30%</t>
        </is>
      </c>
      <c r="E10" s="8" t="inlineStr">
        <is>
          <t>10-30%</t>
        </is>
      </c>
      <c r="F10" s="8" t="inlineStr">
        <is>
          <t>本地工程为主</t>
        </is>
      </c>
      <c r="G10" s="8" t="inlineStr">
        <is>
          <t>小客户为主</t>
        </is>
      </c>
      <c r="H10" s="8" t="inlineStr">
        <is>
          <t>不清晰</t>
        </is>
      </c>
    </row>
    <row r="11" ht="36" customHeight="1">
      <c r="B11" s="4" t="inlineStr">
        <is>
          <t>⑦ 数字化基础</t>
        </is>
      </c>
      <c r="C11" s="5" t="n">
        <v>1</v>
      </c>
      <c r="D11" s="6" t="inlineStr">
        <is>
          <t>金蝶+仓库 Excel</t>
        </is>
      </c>
      <c r="E11" s="6" t="inlineStr">
        <is>
          <t>仅金蝶</t>
        </is>
      </c>
      <c r="F11" s="6" t="inlineStr">
        <is>
          <t>手工+Excel</t>
        </is>
      </c>
      <c r="G11" s="6" t="inlineStr">
        <is>
          <t>纯手工</t>
        </is>
      </c>
      <c r="H11" s="6" t="inlineStr">
        <is>
          <t>失败 ERP 包袱</t>
        </is>
      </c>
    </row>
    <row r="12" ht="36" customHeight="1">
      <c r="B12" s="7" t="inlineStr">
        <is>
          <t>⑧ 决策链</t>
        </is>
      </c>
      <c r="C12" s="5" t="n">
        <v>3</v>
      </c>
      <c r="D12" s="8" t="inlineStr">
        <is>
          <t>老板一人拍板</t>
        </is>
      </c>
      <c r="E12" s="8" t="inlineStr">
        <is>
          <t>老板+1 副总</t>
        </is>
      </c>
      <c r="F12" s="8" t="inlineStr">
        <is>
          <t>老板+多副总</t>
        </is>
      </c>
      <c r="G12" s="8" t="inlineStr">
        <is>
          <t>经理人/二代分歧</t>
        </is>
      </c>
      <c r="H12" s="8" t="inlineStr">
        <is>
          <t>股东多方博弈</t>
        </is>
      </c>
    </row>
    <row r="13" ht="36" customHeight="1">
      <c r="B13" s="4" t="inlineStr">
        <is>
          <t>⑨ 与我方关系</t>
        </is>
      </c>
      <c r="C13" s="5" t="n">
        <v>3</v>
      </c>
      <c r="D13" s="6" t="inlineStr">
        <is>
          <t>老板已熟</t>
        </is>
      </c>
      <c r="E13" s="6" t="inlineStr">
        <is>
          <t>强引荐路径</t>
        </is>
      </c>
      <c r="F13" s="6" t="inlineStr">
        <is>
          <t>弱引荐</t>
        </is>
      </c>
      <c r="G13" s="6" t="inlineStr">
        <is>
          <t>知道公司无人脉</t>
        </is>
      </c>
      <c r="H13" s="6" t="inlineStr">
        <is>
          <t>纯陌生</t>
        </is>
      </c>
    </row>
    <row r="14" ht="36" customHeight="1">
      <c r="B14" s="7" t="inlineStr">
        <is>
          <t>⑩ 见效速度</t>
        </is>
      </c>
      <c r="C14" s="5" t="n">
        <v>2</v>
      </c>
      <c r="D14" s="8" t="inlineStr">
        <is>
          <t>已主动咨询有预算</t>
        </is>
      </c>
      <c r="E14" s="8" t="inlineStr">
        <is>
          <t>今年必做(审厂)</t>
        </is>
      </c>
      <c r="F14" s="8" t="inlineStr">
        <is>
          <t>1-2 年计划</t>
        </is>
      </c>
      <c r="G14" s="8" t="inlineStr">
        <is>
          <t>在观望</t>
        </is>
      </c>
      <c r="H14" s="8" t="inlineStr">
        <is>
          <t>无意识</t>
        </is>
      </c>
    </row>
    <row r="17" ht="36" customHeight="1">
      <c r="B17" s="9" t="inlineStr">
        <is>
          <t>总分 = ①×2 + ②×2 + ③×1 + ④×2 + ⑤×2 + ⑥×2 + ⑦×1 + ⑧×3 + ⑨×3 + ⑩×2 = 满分 100
等级：S（≥80） / A（65-79） / B（50-64） / C（&lt;50，淘汰）</t>
        </is>
      </c>
    </row>
  </sheetData>
  <mergeCells count="2">
    <mergeCell ref="B17:J17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2" customWidth="1" min="4" max="4"/>
    <col width="8" customWidth="1" min="5" max="5"/>
    <col width="14" customWidth="1" min="6" max="6"/>
    <col width="12" customWidth="1" min="7" max="7"/>
    <col width="8" customWidth="1" min="8" max="8"/>
    <col width="22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14" customWidth="1" min="25" max="25"/>
    <col width="22" customWidth="1" min="26" max="26"/>
    <col width="12" customWidth="1" min="27" max="27"/>
  </cols>
  <sheetData>
    <row r="1">
      <c r="A1" s="1" t="inlineStr">
        <is>
          <t>灯塔厂候选 30 家评分表（黄色 = 必填，绿色 = 自动）</t>
        </is>
      </c>
    </row>
    <row r="3" ht="32" customHeight="1">
      <c r="A3" s="2" t="inlineStr">
        <is>
          <t>#</t>
        </is>
      </c>
      <c r="B3" s="2" t="inlineStr">
        <is>
          <t>客群</t>
        </is>
      </c>
      <c r="C3" s="2" t="inlineStr">
        <is>
          <t>公司全称</t>
        </is>
      </c>
      <c r="D3" s="2" t="inlineStr">
        <is>
          <t>老板姓名</t>
        </is>
      </c>
      <c r="E3" s="2" t="inlineStr">
        <is>
          <t>年龄</t>
        </is>
      </c>
      <c r="F3" s="2" t="inlineStr">
        <is>
          <t>城市</t>
        </is>
      </c>
      <c r="G3" s="2" t="inlineStr">
        <is>
          <t>年产值(亿)</t>
        </is>
      </c>
      <c r="H3" s="2" t="inlineStr">
        <is>
          <t>产线</t>
        </is>
      </c>
      <c r="I3" s="2" t="inlineStr">
        <is>
          <t>主要客户</t>
        </is>
      </c>
      <c r="J3" s="2" t="inlineStr">
        <is>
          <t>介绍人</t>
        </is>
      </c>
      <c r="K3" s="2" t="inlineStr">
        <is>
          <t>关系强度</t>
        </is>
      </c>
      <c r="L3" s="2" t="inlineStr">
        <is>
          <t>①老板年龄</t>
        </is>
      </c>
      <c r="M3" s="2" t="inlineStr">
        <is>
          <t>②出镜</t>
        </is>
      </c>
      <c r="N3" s="2" t="inlineStr">
        <is>
          <t>③厂区</t>
        </is>
      </c>
      <c r="O3" s="2" t="inlineStr">
        <is>
          <t>④产业带</t>
        </is>
      </c>
      <c r="P3" s="2" t="inlineStr">
        <is>
          <t>⑤产值</t>
        </is>
      </c>
      <c r="Q3" s="2" t="inlineStr">
        <is>
          <t>⑥客户</t>
        </is>
      </c>
      <c r="R3" s="2" t="inlineStr">
        <is>
          <t>⑦数字化</t>
        </is>
      </c>
      <c r="S3" s="2" t="inlineStr">
        <is>
          <t>⑧决策链</t>
        </is>
      </c>
      <c r="T3" s="2" t="inlineStr">
        <is>
          <t>⑨关系</t>
        </is>
      </c>
      <c r="U3" s="2" t="inlineStr">
        <is>
          <t>⑩见效</t>
        </is>
      </c>
      <c r="V3" s="2" t="inlineStr">
        <is>
          <t>总分</t>
        </is>
      </c>
      <c r="W3" s="2" t="inlineStr">
        <is>
          <t>等级</t>
        </is>
      </c>
      <c r="X3" s="2" t="inlineStr">
        <is>
          <t>负责人</t>
        </is>
      </c>
      <c r="Y3" s="2" t="inlineStr">
        <is>
          <t>当前进度</t>
        </is>
      </c>
      <c r="Z3" s="2" t="inlineStr">
        <is>
          <t>下一步动作</t>
        </is>
      </c>
      <c r="AA3" s="2" t="inlineStr">
        <is>
          <t>跟进日</t>
        </is>
      </c>
    </row>
    <row r="4">
      <c r="A4" s="10" t="n">
        <v>1</v>
      </c>
      <c r="B4" s="11" t="inlineStr">
        <is>
          <t>钢管</t>
        </is>
      </c>
      <c r="C4" s="11" t="inlineStr">
        <is>
          <t>邯郸 XX 钢管科技</t>
        </is>
      </c>
      <c r="D4" s="11" t="inlineStr">
        <is>
          <t>张 XX</t>
        </is>
      </c>
      <c r="E4" s="11" t="n">
        <v>55</v>
      </c>
      <c r="F4" s="11" t="inlineStr">
        <is>
          <t>邯郸</t>
        </is>
      </c>
      <c r="G4" s="11" t="n">
        <v>1.8</v>
      </c>
      <c r="H4" s="11" t="n">
        <v>4</v>
      </c>
      <c r="I4" s="11" t="inlineStr">
        <is>
          <t>建筑/家具/出口</t>
        </is>
      </c>
      <c r="J4" s="11" t="inlineStr">
        <is>
          <t>王 XX(轧机厂)</t>
        </is>
      </c>
      <c r="K4" s="11" t="inlineStr">
        <is>
          <t>中</t>
        </is>
      </c>
      <c r="L4" s="12" t="n">
        <v>4</v>
      </c>
      <c r="M4" s="12" t="n">
        <v>3</v>
      </c>
      <c r="N4" s="12" t="n">
        <v>4</v>
      </c>
      <c r="O4" s="12" t="n">
        <v>4</v>
      </c>
      <c r="P4" s="12" t="n">
        <v>5</v>
      </c>
      <c r="Q4" s="12" t="n">
        <v>5</v>
      </c>
      <c r="R4" s="12" t="n">
        <v>4</v>
      </c>
      <c r="S4" s="12" t="n">
        <v>4</v>
      </c>
      <c r="T4" s="12" t="n">
        <v>3</v>
      </c>
      <c r="U4" s="12" t="n">
        <v>4</v>
      </c>
      <c r="V4" s="13">
        <f>IF(COUNTA(L4:U4)&lt;10,"",L4*2+M4*2+N4*1+O4*2+P4*2+Q4*2+R4*1+S4*3+T4*3+U4*2)</f>
        <v/>
      </c>
      <c r="W4" s="14">
        <f>IF(V4="","",IF(V4&gt;=80,"S",IF(V4&gt;=65,"A",IF(V4&gt;=50,"B","C"))))</f>
        <v/>
      </c>
      <c r="X4" s="12" t="n"/>
      <c r="Y4" s="12" t="n"/>
      <c r="Z4" s="11" t="n"/>
      <c r="AA4" s="12" t="n"/>
    </row>
    <row r="5">
      <c r="A5" s="10" t="n">
        <v>2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3">
        <f>IF(COUNTA(L5:U5)&lt;10,"",L5*2+M5*2+N5*1+O5*2+P5*2+Q5*2+R5*1+S5*3+T5*3+U5*2)</f>
        <v/>
      </c>
      <c r="W5" s="14">
        <f>IF(V5="","",IF(V5&gt;=80,"S",IF(V5&gt;=65,"A",IF(V5&gt;=50,"B","C"))))</f>
        <v/>
      </c>
      <c r="X5" s="12" t="n"/>
      <c r="Y5" s="12" t="n"/>
      <c r="Z5" s="11" t="n"/>
      <c r="AA5" s="12" t="n"/>
    </row>
    <row r="6">
      <c r="A6" s="10" t="n">
        <v>3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3">
        <f>IF(COUNTA(L6:U6)&lt;10,"",L6*2+M6*2+N6*1+O6*2+P6*2+Q6*2+R6*1+S6*3+T6*3+U6*2)</f>
        <v/>
      </c>
      <c r="W6" s="14">
        <f>IF(V6="","",IF(V6&gt;=80,"S",IF(V6&gt;=65,"A",IF(V6&gt;=50,"B","C"))))</f>
        <v/>
      </c>
      <c r="X6" s="12" t="n"/>
      <c r="Y6" s="12" t="n"/>
      <c r="Z6" s="11" t="n"/>
      <c r="AA6" s="12" t="n"/>
    </row>
    <row r="7">
      <c r="A7" s="10" t="n">
        <v>4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3">
        <f>IF(COUNTA(L7:U7)&lt;10,"",L7*2+M7*2+N7*1+O7*2+P7*2+Q7*2+R7*1+S7*3+T7*3+U7*2)</f>
        <v/>
      </c>
      <c r="W7" s="14">
        <f>IF(V7="","",IF(V7&gt;=80,"S",IF(V7&gt;=65,"A",IF(V7&gt;=50,"B","C"))))</f>
        <v/>
      </c>
      <c r="X7" s="12" t="n"/>
      <c r="Y7" s="12" t="n"/>
      <c r="Z7" s="11" t="n"/>
      <c r="AA7" s="12" t="n"/>
    </row>
    <row r="8">
      <c r="A8" s="10" t="n">
        <v>5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3">
        <f>IF(COUNTA(L8:U8)&lt;10,"",L8*2+M8*2+N8*1+O8*2+P8*2+Q8*2+R8*1+S8*3+T8*3+U8*2)</f>
        <v/>
      </c>
      <c r="W8" s="14">
        <f>IF(V8="","",IF(V8&gt;=80,"S",IF(V8&gt;=65,"A",IF(V8&gt;=50,"B","C"))))</f>
        <v/>
      </c>
      <c r="X8" s="12" t="n"/>
      <c r="Y8" s="12" t="n"/>
      <c r="Z8" s="11" t="n"/>
      <c r="AA8" s="12" t="n"/>
    </row>
    <row r="9">
      <c r="A9" s="10" t="n">
        <v>6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3">
        <f>IF(COUNTA(L9:U9)&lt;10,"",L9*2+M9*2+N9*1+O9*2+P9*2+Q9*2+R9*1+S9*3+T9*3+U9*2)</f>
        <v/>
      </c>
      <c r="W9" s="14">
        <f>IF(V9="","",IF(V9&gt;=80,"S",IF(V9&gt;=65,"A",IF(V9&gt;=50,"B","C"))))</f>
        <v/>
      </c>
      <c r="X9" s="12" t="n"/>
      <c r="Y9" s="12" t="n"/>
      <c r="Z9" s="11" t="n"/>
      <c r="AA9" s="12" t="n"/>
    </row>
    <row r="10">
      <c r="A10" s="10" t="n">
        <v>7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3">
        <f>IF(COUNTA(L10:U10)&lt;10,"",L10*2+M10*2+N10*1+O10*2+P10*2+Q10*2+R10*1+S10*3+T10*3+U10*2)</f>
        <v/>
      </c>
      <c r="W10" s="14">
        <f>IF(V10="","",IF(V10&gt;=80,"S",IF(V10&gt;=65,"A",IF(V10&gt;=50,"B","C"))))</f>
        <v/>
      </c>
      <c r="X10" s="12" t="n"/>
      <c r="Y10" s="12" t="n"/>
      <c r="Z10" s="11" t="n"/>
      <c r="AA10" s="12" t="n"/>
    </row>
    <row r="11">
      <c r="A11" s="10" t="n">
        <v>8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3">
        <f>IF(COUNTA(L11:U11)&lt;10,"",L11*2+M11*2+N11*1+O11*2+P11*2+Q11*2+R11*1+S11*3+T11*3+U11*2)</f>
        <v/>
      </c>
      <c r="W11" s="14">
        <f>IF(V11="","",IF(V11&gt;=80,"S",IF(V11&gt;=65,"A",IF(V11&gt;=50,"B","C"))))</f>
        <v/>
      </c>
      <c r="X11" s="12" t="n"/>
      <c r="Y11" s="12" t="n"/>
      <c r="Z11" s="11" t="n"/>
      <c r="AA11" s="12" t="n"/>
    </row>
    <row r="12">
      <c r="A12" s="10" t="n">
        <v>9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3">
        <f>IF(COUNTA(L12:U12)&lt;10,"",L12*2+M12*2+N12*1+O12*2+P12*2+Q12*2+R12*1+S12*3+T12*3+U12*2)</f>
        <v/>
      </c>
      <c r="W12" s="14">
        <f>IF(V12="","",IF(V12&gt;=80,"S",IF(V12&gt;=65,"A",IF(V12&gt;=50,"B","C"))))</f>
        <v/>
      </c>
      <c r="X12" s="12" t="n"/>
      <c r="Y12" s="12" t="n"/>
      <c r="Z12" s="11" t="n"/>
      <c r="AA12" s="12" t="n"/>
    </row>
    <row r="13">
      <c r="A13" s="10" t="n">
        <v>10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3">
        <f>IF(COUNTA(L13:U13)&lt;10,"",L13*2+M13*2+N13*1+O13*2+P13*2+Q13*2+R13*1+S13*3+T13*3+U13*2)</f>
        <v/>
      </c>
      <c r="W13" s="14">
        <f>IF(V13="","",IF(V13&gt;=80,"S",IF(V13&gt;=65,"A",IF(V13&gt;=50,"B","C"))))</f>
        <v/>
      </c>
      <c r="X13" s="12" t="n"/>
      <c r="Y13" s="12" t="n"/>
      <c r="Z13" s="11" t="n"/>
      <c r="AA13" s="12" t="n"/>
    </row>
    <row r="14">
      <c r="A14" s="10" t="n">
        <v>11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3">
        <f>IF(COUNTA(L14:U14)&lt;10,"",L14*2+M14*2+N14*1+O14*2+P14*2+Q14*2+R14*1+S14*3+T14*3+U14*2)</f>
        <v/>
      </c>
      <c r="W14" s="14">
        <f>IF(V14="","",IF(V14&gt;=80,"S",IF(V14&gt;=65,"A",IF(V14&gt;=50,"B","C"))))</f>
        <v/>
      </c>
      <c r="X14" s="12" t="n"/>
      <c r="Y14" s="12" t="n"/>
      <c r="Z14" s="11" t="n"/>
      <c r="AA14" s="12" t="n"/>
    </row>
    <row r="15">
      <c r="A15" s="10" t="n">
        <v>12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3">
        <f>IF(COUNTA(L15:U15)&lt;10,"",L15*2+M15*2+N15*1+O15*2+P15*2+Q15*2+R15*1+S15*3+T15*3+U15*2)</f>
        <v/>
      </c>
      <c r="W15" s="14">
        <f>IF(V15="","",IF(V15&gt;=80,"S",IF(V15&gt;=65,"A",IF(V15&gt;=50,"B","C"))))</f>
        <v/>
      </c>
      <c r="X15" s="12" t="n"/>
      <c r="Y15" s="12" t="n"/>
      <c r="Z15" s="11" t="n"/>
      <c r="AA15" s="12" t="n"/>
    </row>
    <row r="16">
      <c r="A16" s="10" t="n">
        <v>13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3">
        <f>IF(COUNTA(L16:U16)&lt;10,"",L16*2+M16*2+N16*1+O16*2+P16*2+Q16*2+R16*1+S16*3+T16*3+U16*2)</f>
        <v/>
      </c>
      <c r="W16" s="14">
        <f>IF(V16="","",IF(V16&gt;=80,"S",IF(V16&gt;=65,"A",IF(V16&gt;=50,"B","C"))))</f>
        <v/>
      </c>
      <c r="X16" s="12" t="n"/>
      <c r="Y16" s="12" t="n"/>
      <c r="Z16" s="11" t="n"/>
      <c r="AA16" s="12" t="n"/>
    </row>
    <row r="17">
      <c r="A17" s="10" t="n">
        <v>14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3">
        <f>IF(COUNTA(L17:U17)&lt;10,"",L17*2+M17*2+N17*1+O17*2+P17*2+Q17*2+R17*1+S17*3+T17*3+U17*2)</f>
        <v/>
      </c>
      <c r="W17" s="14">
        <f>IF(V17="","",IF(V17&gt;=80,"S",IF(V17&gt;=65,"A",IF(V17&gt;=50,"B","C"))))</f>
        <v/>
      </c>
      <c r="X17" s="12" t="n"/>
      <c r="Y17" s="12" t="n"/>
      <c r="Z17" s="11" t="n"/>
      <c r="AA17" s="12" t="n"/>
    </row>
    <row r="18">
      <c r="A18" s="10" t="n">
        <v>15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3">
        <f>IF(COUNTA(L18:U18)&lt;10,"",L18*2+M18*2+N18*1+O18*2+P18*2+Q18*2+R18*1+S18*3+T18*3+U18*2)</f>
        <v/>
      </c>
      <c r="W18" s="14">
        <f>IF(V18="","",IF(V18&gt;=80,"S",IF(V18&gt;=65,"A",IF(V18&gt;=50,"B","C"))))</f>
        <v/>
      </c>
      <c r="X18" s="12" t="n"/>
      <c r="Y18" s="12" t="n"/>
      <c r="Z18" s="11" t="n"/>
      <c r="AA18" s="12" t="n"/>
    </row>
    <row r="19">
      <c r="A19" s="10" t="n">
        <v>16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3">
        <f>IF(COUNTA(L19:U19)&lt;10,"",L19*2+M19*2+N19*1+O19*2+P19*2+Q19*2+R19*1+S19*3+T19*3+U19*2)</f>
        <v/>
      </c>
      <c r="W19" s="14">
        <f>IF(V19="","",IF(V19&gt;=80,"S",IF(V19&gt;=65,"A",IF(V19&gt;=50,"B","C"))))</f>
        <v/>
      </c>
      <c r="X19" s="12" t="n"/>
      <c r="Y19" s="12" t="n"/>
      <c r="Z19" s="11" t="n"/>
      <c r="AA19" s="12" t="n"/>
    </row>
    <row r="20">
      <c r="A20" s="10" t="n">
        <v>17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3">
        <f>IF(COUNTA(L20:U20)&lt;10,"",L20*2+M20*2+N20*1+O20*2+P20*2+Q20*2+R20*1+S20*3+T20*3+U20*2)</f>
        <v/>
      </c>
      <c r="W20" s="14">
        <f>IF(V20="","",IF(V20&gt;=80,"S",IF(V20&gt;=65,"A",IF(V20&gt;=50,"B","C"))))</f>
        <v/>
      </c>
      <c r="X20" s="12" t="n"/>
      <c r="Y20" s="12" t="n"/>
      <c r="Z20" s="11" t="n"/>
      <c r="AA20" s="12" t="n"/>
    </row>
    <row r="21">
      <c r="A21" s="10" t="n">
        <v>18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3">
        <f>IF(COUNTA(L21:U21)&lt;10,"",L21*2+M21*2+N21*1+O21*2+P21*2+Q21*2+R21*1+S21*3+T21*3+U21*2)</f>
        <v/>
      </c>
      <c r="W21" s="14">
        <f>IF(V21="","",IF(V21&gt;=80,"S",IF(V21&gt;=65,"A",IF(V21&gt;=50,"B","C"))))</f>
        <v/>
      </c>
      <c r="X21" s="12" t="n"/>
      <c r="Y21" s="12" t="n"/>
      <c r="Z21" s="11" t="n"/>
      <c r="AA21" s="12" t="n"/>
    </row>
    <row r="22">
      <c r="A22" s="10" t="n">
        <v>19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3">
        <f>IF(COUNTA(L22:U22)&lt;10,"",L22*2+M22*2+N22*1+O22*2+P22*2+Q22*2+R22*1+S22*3+T22*3+U22*2)</f>
        <v/>
      </c>
      <c r="W22" s="14">
        <f>IF(V22="","",IF(V22&gt;=80,"S",IF(V22&gt;=65,"A",IF(V22&gt;=50,"B","C"))))</f>
        <v/>
      </c>
      <c r="X22" s="12" t="n"/>
      <c r="Y22" s="12" t="n"/>
      <c r="Z22" s="11" t="n"/>
      <c r="AA22" s="12" t="n"/>
    </row>
    <row r="23">
      <c r="A23" s="10" t="n">
        <v>20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3">
        <f>IF(COUNTA(L23:U23)&lt;10,"",L23*2+M23*2+N23*1+O23*2+P23*2+Q23*2+R23*1+S23*3+T23*3+U23*2)</f>
        <v/>
      </c>
      <c r="W23" s="14">
        <f>IF(V23="","",IF(V23&gt;=80,"S",IF(V23&gt;=65,"A",IF(V23&gt;=50,"B","C"))))</f>
        <v/>
      </c>
      <c r="X23" s="12" t="n"/>
      <c r="Y23" s="12" t="n"/>
      <c r="Z23" s="11" t="n"/>
      <c r="AA23" s="12" t="n"/>
    </row>
    <row r="24">
      <c r="A24" s="10" t="n">
        <v>21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3">
        <f>IF(COUNTA(L24:U24)&lt;10,"",L24*2+M24*2+N24*1+O24*2+P24*2+Q24*2+R24*1+S24*3+T24*3+U24*2)</f>
        <v/>
      </c>
      <c r="W24" s="14">
        <f>IF(V24="","",IF(V24&gt;=80,"S",IF(V24&gt;=65,"A",IF(V24&gt;=50,"B","C"))))</f>
        <v/>
      </c>
      <c r="X24" s="12" t="n"/>
      <c r="Y24" s="12" t="n"/>
      <c r="Z24" s="11" t="n"/>
      <c r="AA24" s="12" t="n"/>
    </row>
    <row r="25">
      <c r="A25" s="10" t="n">
        <v>22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3">
        <f>IF(COUNTA(L25:U25)&lt;10,"",L25*2+M25*2+N25*1+O25*2+P25*2+Q25*2+R25*1+S25*3+T25*3+U25*2)</f>
        <v/>
      </c>
      <c r="W25" s="14">
        <f>IF(V25="","",IF(V25&gt;=80,"S",IF(V25&gt;=65,"A",IF(V25&gt;=50,"B","C"))))</f>
        <v/>
      </c>
      <c r="X25" s="12" t="n"/>
      <c r="Y25" s="12" t="n"/>
      <c r="Z25" s="11" t="n"/>
      <c r="AA25" s="12" t="n"/>
    </row>
    <row r="26">
      <c r="A26" s="10" t="n">
        <v>23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3">
        <f>IF(COUNTA(L26:U26)&lt;10,"",L26*2+M26*2+N26*1+O26*2+P26*2+Q26*2+R26*1+S26*3+T26*3+U26*2)</f>
        <v/>
      </c>
      <c r="W26" s="14">
        <f>IF(V26="","",IF(V26&gt;=80,"S",IF(V26&gt;=65,"A",IF(V26&gt;=50,"B","C"))))</f>
        <v/>
      </c>
      <c r="X26" s="12" t="n"/>
      <c r="Y26" s="12" t="n"/>
      <c r="Z26" s="11" t="n"/>
      <c r="AA26" s="12" t="n"/>
    </row>
    <row r="27">
      <c r="A27" s="10" t="n">
        <v>24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3">
        <f>IF(COUNTA(L27:U27)&lt;10,"",L27*2+M27*2+N27*1+O27*2+P27*2+Q27*2+R27*1+S27*3+T27*3+U27*2)</f>
        <v/>
      </c>
      <c r="W27" s="14">
        <f>IF(V27="","",IF(V27&gt;=80,"S",IF(V27&gt;=65,"A",IF(V27&gt;=50,"B","C"))))</f>
        <v/>
      </c>
      <c r="X27" s="12" t="n"/>
      <c r="Y27" s="12" t="n"/>
      <c r="Z27" s="11" t="n"/>
      <c r="AA27" s="12" t="n"/>
    </row>
    <row r="28">
      <c r="A28" s="10" t="n">
        <v>25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3">
        <f>IF(COUNTA(L28:U28)&lt;10,"",L28*2+M28*2+N28*1+O28*2+P28*2+Q28*2+R28*1+S28*3+T28*3+U28*2)</f>
        <v/>
      </c>
      <c r="W28" s="14">
        <f>IF(V28="","",IF(V28&gt;=80,"S",IF(V28&gt;=65,"A",IF(V28&gt;=50,"B","C"))))</f>
        <v/>
      </c>
      <c r="X28" s="12" t="n"/>
      <c r="Y28" s="12" t="n"/>
      <c r="Z28" s="11" t="n"/>
      <c r="AA28" s="12" t="n"/>
    </row>
    <row r="29">
      <c r="A29" s="10" t="n">
        <v>26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3">
        <f>IF(COUNTA(L29:U29)&lt;10,"",L29*2+M29*2+N29*1+O29*2+P29*2+Q29*2+R29*1+S29*3+T29*3+U29*2)</f>
        <v/>
      </c>
      <c r="W29" s="14">
        <f>IF(V29="","",IF(V29&gt;=80,"S",IF(V29&gt;=65,"A",IF(V29&gt;=50,"B","C"))))</f>
        <v/>
      </c>
      <c r="X29" s="12" t="n"/>
      <c r="Y29" s="12" t="n"/>
      <c r="Z29" s="11" t="n"/>
      <c r="AA29" s="12" t="n"/>
    </row>
    <row r="30">
      <c r="A30" s="10" t="n">
        <v>27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3">
        <f>IF(COUNTA(L30:U30)&lt;10,"",L30*2+M30*2+N30*1+O30*2+P30*2+Q30*2+R30*1+S30*3+T30*3+U30*2)</f>
        <v/>
      </c>
      <c r="W30" s="14">
        <f>IF(V30="","",IF(V30&gt;=80,"S",IF(V30&gt;=65,"A",IF(V30&gt;=50,"B","C"))))</f>
        <v/>
      </c>
      <c r="X30" s="12" t="n"/>
      <c r="Y30" s="12" t="n"/>
      <c r="Z30" s="11" t="n"/>
      <c r="AA30" s="12" t="n"/>
    </row>
    <row r="31">
      <c r="A31" s="10" t="n">
        <v>28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3">
        <f>IF(COUNTA(L31:U31)&lt;10,"",L31*2+M31*2+N31*1+O31*2+P31*2+Q31*2+R31*1+S31*3+T31*3+U31*2)</f>
        <v/>
      </c>
      <c r="W31" s="14">
        <f>IF(V31="","",IF(V31&gt;=80,"S",IF(V31&gt;=65,"A",IF(V31&gt;=50,"B","C"))))</f>
        <v/>
      </c>
      <c r="X31" s="12" t="n"/>
      <c r="Y31" s="12" t="n"/>
      <c r="Z31" s="11" t="n"/>
      <c r="AA31" s="12" t="n"/>
    </row>
    <row r="32">
      <c r="A32" s="10" t="n">
        <v>29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3">
        <f>IF(COUNTA(L32:U32)&lt;10,"",L32*2+M32*2+N32*1+O32*2+P32*2+Q32*2+R32*1+S32*3+T32*3+U32*2)</f>
        <v/>
      </c>
      <c r="W32" s="14">
        <f>IF(V32="","",IF(V32&gt;=80,"S",IF(V32&gt;=65,"A",IF(V32&gt;=50,"B","C"))))</f>
        <v/>
      </c>
      <c r="X32" s="12" t="n"/>
      <c r="Y32" s="12" t="n"/>
      <c r="Z32" s="11" t="n"/>
      <c r="AA32" s="12" t="n"/>
    </row>
    <row r="33">
      <c r="A33" s="10" t="n">
        <v>30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3">
        <f>IF(COUNTA(L33:U33)&lt;10,"",L33*2+M33*2+N33*1+O33*2+P33*2+Q33*2+R33*1+S33*3+T33*3+U33*2)</f>
        <v/>
      </c>
      <c r="W33" s="14">
        <f>IF(V33="","",IF(V33&gt;=80,"S",IF(V33&gt;=65,"A",IF(V33&gt;=50,"B","C"))))</f>
        <v/>
      </c>
      <c r="X33" s="12" t="n"/>
      <c r="Y33" s="12" t="n"/>
      <c r="Z33" s="11" t="n"/>
      <c r="AA33" s="12" t="n"/>
    </row>
  </sheetData>
  <mergeCells count="1">
    <mergeCell ref="A1:AA1"/>
  </mergeCells>
  <conditionalFormatting sqref="W4:W3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</conditionalFormatting>
  <dataValidations count="5">
    <dataValidation sqref="B4:B33" showDropDown="0" showInputMessage="0" showErrorMessage="0" allowBlank="1" type="list">
      <formula1>"钢管,镀锌冷卷,开平纵剪,一体厂"</formula1>
    </dataValidation>
    <dataValidation sqref="K4:K33" showDropDown="0" showInputMessage="0" showErrorMessage="0" allowBlank="1" type="list">
      <formula1>"强,中,弱,无"</formula1>
    </dataValidation>
    <dataValidation sqref="L4:U33" showDropDown="0" showInputMessage="0" showErrorMessage="0" allowBlank="1" type="list">
      <formula1>"1,2,3,4,5"</formula1>
    </dataValidation>
    <dataValidation sqref="X4:X33" showDropDown="0" showInputMessage="0" showErrorMessage="0" allowBlank="1" type="list">
      <formula1>"老板,销售总监A,销售总监B,销售1,销售2"</formula1>
    </dataValidation>
    <dataValidation sqref="Y4:Y33" showDropDown="0" showInputMessage="0" showErrorMessage="0" allowBlank="1" type="list">
      <formula1>"候选,已接触,首次拜访,工作坊,POC,签约,上线,放弃"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14" customWidth="1" min="4" max="4"/>
    <col width="30" customWidth="1" min="5" max="5"/>
  </cols>
  <sheetData>
    <row r="2">
      <c r="B2" s="1" t="inlineStr">
        <is>
          <t>30 家清单等级自动统计</t>
        </is>
      </c>
    </row>
    <row r="4">
      <c r="B4" s="2" t="inlineStr">
        <is>
          <t>等级</t>
        </is>
      </c>
      <c r="C4" s="2" t="inlineStr">
        <is>
          <t>家数</t>
        </is>
      </c>
      <c r="D4" s="2" t="inlineStr">
        <is>
          <t>占比</t>
        </is>
      </c>
      <c r="E4" s="2" t="inlineStr">
        <is>
          <t>建议动作</t>
        </is>
      </c>
    </row>
    <row r="5">
      <c r="B5" s="14" t="inlineStr">
        <is>
          <t>S（≥80）</t>
        </is>
      </c>
      <c r="C5" s="14">
        <f>COUNTIF('30家候选评分'!W4:W33,"S")</f>
        <v/>
      </c>
      <c r="D5" s="15">
        <f>IFERROR(C5/COUNTA('30家候选评分'!W4:W33),0)</f>
        <v/>
      </c>
      <c r="E5" s="16" t="inlineStr">
        <is>
          <t>老板亲自跑 + 5 折/利润分成</t>
        </is>
      </c>
    </row>
    <row r="6">
      <c r="B6" s="10" t="inlineStr">
        <is>
          <t>A（65-79）</t>
        </is>
      </c>
      <c r="C6" s="10">
        <f>COUNTIF('30家候选评分'!W4:W33,"A")</f>
        <v/>
      </c>
      <c r="D6" s="17">
        <f>IFERROR(C6/COUNTA('30家候选评分'!W4:W33),0)</f>
        <v/>
      </c>
      <c r="E6" s="8" t="inlineStr">
        <is>
          <t>销售总监主跟 + 6-7 折</t>
        </is>
      </c>
    </row>
    <row r="7">
      <c r="B7" s="18" t="inlineStr">
        <is>
          <t>B（50-64）</t>
        </is>
      </c>
      <c r="C7" s="18">
        <f>COUNTIF('30家候选评分'!W4:W33,"B")</f>
        <v/>
      </c>
      <c r="D7" s="19">
        <f>IFERROR(C7/COUNTA('30家候选评分'!W4:W33),0)</f>
        <v/>
      </c>
      <c r="E7" s="20" t="inlineStr">
        <is>
          <t>排队跟进</t>
        </is>
      </c>
    </row>
    <row r="8">
      <c r="B8" s="21" t="inlineStr">
        <is>
          <t>C（&lt;50）</t>
        </is>
      </c>
      <c r="C8" s="21">
        <f>COUNTIF('30家候选评分'!W4:W33,"C")</f>
        <v/>
      </c>
      <c r="D8" s="22">
        <f>IFERROR(C8/COUNTA('30家候选评分'!W4:W33),0)</f>
        <v/>
      </c>
      <c r="E8" s="23" t="inlineStr">
        <is>
          <t>出 30 家清单</t>
        </is>
      </c>
    </row>
    <row r="9">
      <c r="B9" s="24" t="inlineStr">
        <is>
          <t>累计已评分</t>
        </is>
      </c>
      <c r="C9" s="24">
        <f>COUNTA('30家候选评分'!W4:W33)</f>
        <v/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14" customWidth="1" min="4" max="4"/>
    <col width="30" customWidth="1" min="5" max="5"/>
  </cols>
  <sheetData>
    <row r="2">
      <c r="B2" s="1" t="inlineStr">
        <is>
          <t>30 家清单推进进度自动统计</t>
        </is>
      </c>
    </row>
    <row r="4">
      <c r="B4" s="2" t="inlineStr">
        <is>
          <t>阶段</t>
        </is>
      </c>
      <c r="C4" s="2" t="inlineStr">
        <is>
          <t>家数</t>
        </is>
      </c>
      <c r="D4" s="2" t="inlineStr">
        <is>
          <t>占比</t>
        </is>
      </c>
      <c r="E4" s="2" t="inlineStr">
        <is>
          <t>目标值</t>
        </is>
      </c>
    </row>
    <row r="5">
      <c r="B5" s="25" t="inlineStr">
        <is>
          <t>候选</t>
        </is>
      </c>
      <c r="C5" s="25">
        <f>COUNTIF('30家候选评分'!Y4:Y33,"候选")</f>
        <v/>
      </c>
      <c r="D5" s="26">
        <f>IFERROR(C5/COUNTA('30家候选评分'!Y4:Y33),0)</f>
        <v/>
      </c>
      <c r="E5" s="6" t="inlineStr">
        <is>
          <t>≥ 30 家</t>
        </is>
      </c>
    </row>
    <row r="6">
      <c r="B6" s="10" t="inlineStr">
        <is>
          <t>已接触</t>
        </is>
      </c>
      <c r="C6" s="10">
        <f>COUNTIF('30家候选评分'!Y4:Y33,"已接触")</f>
        <v/>
      </c>
      <c r="D6" s="17">
        <f>IFERROR(C6/COUNTA('30家候选评分'!Y4:Y33),0)</f>
        <v/>
      </c>
      <c r="E6" s="8" t="inlineStr">
        <is>
          <t>≥ 25 家</t>
        </is>
      </c>
    </row>
    <row r="7">
      <c r="B7" s="25" t="inlineStr">
        <is>
          <t>首次拜访</t>
        </is>
      </c>
      <c r="C7" s="25">
        <f>COUNTIF('30家候选评分'!Y4:Y33,"首次拜访")</f>
        <v/>
      </c>
      <c r="D7" s="26">
        <f>IFERROR(C7/COUNTA('30家候选评分'!Y4:Y33),0)</f>
        <v/>
      </c>
      <c r="E7" s="6" t="inlineStr">
        <is>
          <t>≥ 20 家</t>
        </is>
      </c>
    </row>
    <row r="8">
      <c r="B8" s="10" t="inlineStr">
        <is>
          <t>工作坊</t>
        </is>
      </c>
      <c r="C8" s="10">
        <f>COUNTIF('30家候选评分'!Y4:Y33,"工作坊")</f>
        <v/>
      </c>
      <c r="D8" s="17">
        <f>IFERROR(C8/COUNTA('30家候选评分'!Y4:Y33),0)</f>
        <v/>
      </c>
      <c r="E8" s="8" t="inlineStr">
        <is>
          <t>≥ 8 家</t>
        </is>
      </c>
    </row>
    <row r="9">
      <c r="B9" s="25" t="inlineStr">
        <is>
          <t>POC</t>
        </is>
      </c>
      <c r="C9" s="25">
        <f>COUNTIF('30家候选评分'!Y4:Y33,"POC")</f>
        <v/>
      </c>
      <c r="D9" s="26">
        <f>IFERROR(C9/COUNTA('30家候选评分'!Y4:Y33),0)</f>
        <v/>
      </c>
      <c r="E9" s="6" t="inlineStr">
        <is>
          <t>≥ 6 家</t>
        </is>
      </c>
    </row>
    <row r="10">
      <c r="B10" s="10" t="inlineStr">
        <is>
          <t>签约</t>
        </is>
      </c>
      <c r="C10" s="10">
        <f>COUNTIF('30家候选评分'!Y4:Y33,"签约")</f>
        <v/>
      </c>
      <c r="D10" s="17">
        <f>IFERROR(C10/COUNTA('30家候选评分'!Y4:Y33),0)</f>
        <v/>
      </c>
      <c r="E10" s="8" t="inlineStr">
        <is>
          <t>≥ 4 家（含灯塔）</t>
        </is>
      </c>
    </row>
    <row r="11">
      <c r="B11" s="25" t="inlineStr">
        <is>
          <t>上线</t>
        </is>
      </c>
      <c r="C11" s="25">
        <f>COUNTIF('30家候选评分'!Y4:Y33,"上线")</f>
        <v/>
      </c>
      <c r="D11" s="26">
        <f>IFERROR(C11/COUNTA('30家候选评分'!Y4:Y33),0)</f>
        <v/>
      </c>
      <c r="E11" s="6" t="inlineStr">
        <is>
          <t>≥ 2 家</t>
        </is>
      </c>
    </row>
    <row r="12">
      <c r="B12" s="10" t="inlineStr">
        <is>
          <t>放弃</t>
        </is>
      </c>
      <c r="C12" s="10">
        <f>COUNTIF('30家候选评分'!Y4:Y33,"放弃")</f>
        <v/>
      </c>
      <c r="D12" s="17">
        <f>IFERROR(C12/COUNTA('30家候选评分'!Y4:Y33),0)</f>
        <v/>
      </c>
      <c r="E12" s="8" t="inlineStr">
        <is>
          <t>≤ 5 家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2026-04-19T01:05:43Z</dcterms:created>
  <dcterms:modified xsi:type="dcterms:W3CDTF">2026-04-19T01:05:43Z</dcterms:modified>
</cp:coreProperties>
</file>