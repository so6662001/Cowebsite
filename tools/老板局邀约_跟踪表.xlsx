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邀约总进度看板" sheetId="2" state="visible" r:id="rId2"/>
    <sheet name="12位老板跟踪表" sheetId="3" state="visible" r:id="rId3"/>
    <sheet name="5周时间轴" sheetId="4" state="visible" r:id="rId4"/>
    <sheet name="现场座位安排" sheetId="5" state="visible" r:id="rId5"/>
    <sheet name="T+7后续跟进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0"/>
    </font>
    <font>
      <name val="Microsoft YaHei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B6C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00B050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FF6B6B"/>
        </patternFill>
      </fill>
    </dxf>
    <dxf>
      <fill>
        <patternFill patternType="solid">
          <fgColor rgb="0000B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</cols>
  <sheetData>
    <row r="2">
      <c r="B2" s="1" t="inlineStr">
        <is>
          <t>第 1 场老板局邀约跟踪表（v1.0）</t>
        </is>
      </c>
    </row>
    <row r="4" ht="40" customHeight="1">
      <c r="B4" s="2" t="inlineStr">
        <is>
          <t>适用对象</t>
        </is>
      </c>
      <c r="C4" s="3" t="inlineStr">
        <is>
          <t>老板 + 销售总监 A/B + 销售运营经理</t>
        </is>
      </c>
    </row>
    <row r="5" ht="74.89999999999999" customHeight="1">
      <c r="B5" s="2" t="inlineStr">
        <is>
          <t>使用步骤</t>
        </is>
      </c>
      <c r="C5" s="3" t="inlineStr">
        <is>
          <t>① 打开『12 位老板跟踪表』，填写 12 位老板基本信息（按必到/力争/加分分档）
② 每周一战报会更新「最近联系」「确认状态」两列
③ 切换『邀约总进度看板』看自动汇总
④ T+7 后切换『后续跟进表』管理转化</t>
        </is>
      </c>
    </row>
    <row r="6" ht="57.4" customHeight="1">
      <c r="B6" s="2" t="inlineStr">
        <is>
          <t>核心原则</t>
        </is>
      </c>
      <c r="C6" s="3" t="inlineStr">
        <is>
          <t>1. 邀 12 实到 8-10 是行业正常水平
2. 必到 4 位由老板亲自邀
3. T-3 周由灯塔厂老板亲自电话最关键
4. T-1 周老板必须再亲自打 1 遍</t>
        </is>
      </c>
    </row>
    <row r="7" ht="123.9" customHeight="1">
      <c r="B7" s="2" t="inlineStr">
        <is>
          <t>时间锚点</t>
        </is>
      </c>
      <c r="C7" s="3" t="inlineStr">
        <is>
          <t>T-5 周 = W3（5.4-5.10）锁定 + 圈定名单
T-4 周 = W4（5.11-5.17）首次邀约
T-3 周 = W5（5.18-5.24）跟进未确认
T-2 周 = W6（5.25-5.31）实体邀请函
T-1 周 = W7（6.1-6.7）最终确认 + 现场预演
T  日 = W8（6.11 周四）老板局执行
T+1-T+7 后续跟进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2" customWidth="1" min="5" max="5"/>
    <col width="28" customWidth="1" min="6" max="6"/>
  </cols>
  <sheetData>
    <row r="2">
      <c r="B2" s="1" t="inlineStr">
        <is>
          <t>邀约总进度看板（自动统计 12 位老板表）</t>
        </is>
      </c>
    </row>
    <row r="4">
      <c r="B4" s="2" t="inlineStr">
        <is>
          <t>状态</t>
        </is>
      </c>
      <c r="C4" s="2" t="inlineStr">
        <is>
          <t>目标</t>
        </is>
      </c>
      <c r="D4" s="2" t="inlineStr">
        <is>
          <t>实际</t>
        </is>
      </c>
      <c r="E4" s="2" t="inlineStr">
        <is>
          <t>达成</t>
        </is>
      </c>
      <c r="F4" s="2" t="inlineStr">
        <is>
          <t>下一步动作</t>
        </is>
      </c>
    </row>
    <row r="5">
      <c r="B5" s="4" t="inlineStr">
        <is>
          <t>名单已圈定</t>
        </is>
      </c>
      <c r="C5" s="5" t="n">
        <v>12</v>
      </c>
      <c r="D5" s="6">
        <f>COUNTIF('12位老板跟踪表'!K4:K15,"名单已圈定")</f>
        <v/>
      </c>
      <c r="E5" s="7">
        <f>IFERROR(D5/C5,0)</f>
        <v/>
      </c>
      <c r="F5" s="8" t="inlineStr">
        <is>
          <t>T-5 周完成</t>
        </is>
      </c>
    </row>
    <row r="6">
      <c r="B6" s="9" t="inlineStr">
        <is>
          <t>邀请函已发</t>
        </is>
      </c>
      <c r="C6" s="5" t="n">
        <v>12</v>
      </c>
      <c r="D6" s="10">
        <f>COUNTIF('12位老板跟踪表'!K4:K15,"邀请函已发")</f>
        <v/>
      </c>
      <c r="E6" s="11">
        <f>IFERROR(D6/C6,0)</f>
        <v/>
      </c>
      <c r="F6" s="12" t="inlineStr">
        <is>
          <t>T-4 周完成</t>
        </is>
      </c>
    </row>
    <row r="7">
      <c r="B7" s="4" t="inlineStr">
        <is>
          <t>已电话邀约</t>
        </is>
      </c>
      <c r="C7" s="5" t="n">
        <v>12</v>
      </c>
      <c r="D7" s="6">
        <f>COUNTIF('12位老板跟踪表'!K4:K15,"已电话邀约")</f>
        <v/>
      </c>
      <c r="E7" s="7">
        <f>IFERROR(D7/C7,0)</f>
        <v/>
      </c>
      <c r="F7" s="8" t="inlineStr">
        <is>
          <t>T-4 周完成</t>
        </is>
      </c>
    </row>
    <row r="8">
      <c r="B8" s="9" t="inlineStr">
        <is>
          <t>已确认实到</t>
        </is>
      </c>
      <c r="C8" s="5" t="n">
        <v>8</v>
      </c>
      <c r="D8" s="10">
        <f>COUNTIF('12位老板跟踪表'!K4:K15,"已确认实到")</f>
        <v/>
      </c>
      <c r="E8" s="11">
        <f>IFERROR(D8/C8,0)</f>
        <v/>
      </c>
      <c r="F8" s="12" t="inlineStr">
        <is>
          <t>T-1 周必达 ≥ 8</t>
        </is>
      </c>
    </row>
    <row r="9">
      <c r="B9" s="4" t="inlineStr">
        <is>
          <t>待定中</t>
        </is>
      </c>
      <c r="C9" s="5" t="n">
        <v>2</v>
      </c>
      <c r="D9" s="6">
        <f>COUNTIF('12位老板跟踪表'!K4:K15,"待定中")</f>
        <v/>
      </c>
      <c r="E9" s="7">
        <f>IFERROR(D9/C9,0)</f>
        <v/>
      </c>
      <c r="F9" s="8" t="inlineStr">
        <is>
          <t>T-3 周必清</t>
        </is>
      </c>
    </row>
    <row r="10">
      <c r="B10" s="9" t="inlineStr">
        <is>
          <t>已婉拒</t>
        </is>
      </c>
      <c r="C10" s="5" t="n">
        <v>2</v>
      </c>
      <c r="D10" s="10">
        <f>COUNTIF('12位老板跟踪表'!K4:K15,"已婉拒")</f>
        <v/>
      </c>
      <c r="E10" s="11">
        <f>IFERROR(D10/C10,0)</f>
        <v/>
      </c>
      <c r="F10" s="12" t="inlineStr">
        <is>
          <t>启动备选名单</t>
        </is>
      </c>
    </row>
    <row r="11">
      <c r="B11" s="4" t="inlineStr">
        <is>
          <t>已回访（T-1）</t>
        </is>
      </c>
      <c r="C11" s="5" t="n">
        <v>12</v>
      </c>
      <c r="D11" s="6">
        <f>COUNTIF('12位老板跟踪表'!K4:K15,"已回访（T-1）")</f>
        <v/>
      </c>
      <c r="E11" s="7">
        <f>IFERROR(D11/C11,0)</f>
        <v/>
      </c>
      <c r="F11" s="8" t="inlineStr">
        <is>
          <t>T-1 周必达 = 12</t>
        </is>
      </c>
    </row>
    <row r="14">
      <c r="B14" s="13" t="inlineStr">
        <is>
          <t>★ 老板局 4 大成功 KPI</t>
        </is>
      </c>
    </row>
    <row r="15">
      <c r="B15" s="9" t="inlineStr">
        <is>
          <t>实到老板数</t>
        </is>
      </c>
      <c r="C15" s="5" t="inlineStr">
        <is>
          <t>≥ 8 位</t>
        </is>
      </c>
      <c r="D15" s="14" t="inlineStr"/>
      <c r="F15" s="3" t="inlineStr">
        <is>
          <t>如 &lt; 6 位 → 临时启动备选</t>
        </is>
      </c>
    </row>
    <row r="16">
      <c r="B16" s="9" t="inlineStr">
        <is>
          <t>现场添加微信</t>
        </is>
      </c>
      <c r="C16" s="5" t="inlineStr">
        <is>
          <t>≥ 8 个</t>
        </is>
      </c>
      <c r="D16" s="14" t="inlineStr"/>
      <c r="F16" s="3" t="inlineStr">
        <is>
          <t>现场销售必须每个老板加微信</t>
        </is>
      </c>
    </row>
    <row r="17">
      <c r="B17" s="9" t="inlineStr">
        <is>
          <t>T+7 二次拜访</t>
        </is>
      </c>
      <c r="C17" s="5" t="inlineStr">
        <is>
          <t>≥ 5 位</t>
        </is>
      </c>
      <c r="D17" s="14" t="inlineStr"/>
      <c r="F17" s="3" t="inlineStr">
        <is>
          <t>立刻上门</t>
        </is>
      </c>
    </row>
    <row r="18">
      <c r="B18" s="9" t="inlineStr">
        <is>
          <t>90 天内合同</t>
        </is>
      </c>
      <c r="C18" s="5" t="inlineStr">
        <is>
          <t>≥ 3 单</t>
        </is>
      </c>
      <c r="D18" s="14" t="inlineStr"/>
      <c r="F18" s="3" t="inlineStr">
        <is>
          <t>POC → 签约的标准转化</t>
        </is>
      </c>
    </row>
  </sheetData>
  <mergeCells count="6">
    <mergeCell ref="D18:E18"/>
    <mergeCell ref="D16:E16"/>
    <mergeCell ref="B2:F2"/>
    <mergeCell ref="D15:E15"/>
    <mergeCell ref="B14:F14"/>
    <mergeCell ref="D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12" customWidth="1" min="4" max="4"/>
    <col width="8" customWidth="1" min="5" max="5"/>
    <col width="14" customWidth="1" min="6" max="6"/>
    <col width="22" customWidth="1" min="7" max="7"/>
    <col width="14" customWidth="1" min="8" max="8"/>
    <col width="1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12 位老板邀约跟踪表（黄色 = 输入，绿色 = 自动）</t>
        </is>
      </c>
    </row>
    <row r="3" ht="32" customHeight="1">
      <c r="A3" s="2" t="inlineStr">
        <is>
          <t>#</t>
        </is>
      </c>
      <c r="B3" s="2" t="inlineStr">
        <is>
          <t>档位</t>
        </is>
      </c>
      <c r="C3" s="2" t="inlineStr">
        <is>
          <t>公司</t>
        </is>
      </c>
      <c r="D3" s="2" t="inlineStr">
        <is>
          <t>老板姓名</t>
        </is>
      </c>
      <c r="E3" s="2" t="inlineStr">
        <is>
          <t>年龄</t>
        </is>
      </c>
      <c r="F3" s="2" t="inlineStr">
        <is>
          <t>城市</t>
        </is>
      </c>
      <c r="G3" s="2" t="inlineStr">
        <is>
          <t>客群</t>
        </is>
      </c>
      <c r="H3" s="2" t="inlineStr">
        <is>
          <t>邀约负责人</t>
        </is>
      </c>
      <c r="I3" s="2" t="inlineStr">
        <is>
          <t>首次邀约日</t>
        </is>
      </c>
      <c r="J3" s="2" t="inlineStr">
        <is>
          <t>最近联系</t>
        </is>
      </c>
      <c r="K3" s="2" t="inlineStr">
        <is>
          <t>确认状态</t>
        </is>
      </c>
      <c r="L3" s="2" t="inlineStr">
        <is>
          <t>备注 / 风险</t>
        </is>
      </c>
    </row>
    <row r="4">
      <c r="A4" s="10" t="n">
        <v>1</v>
      </c>
      <c r="B4" s="15" t="inlineStr">
        <is>
          <t>必到</t>
        </is>
      </c>
      <c r="C4" s="15" t="inlineStr">
        <is>
          <t>灯塔厂A</t>
        </is>
      </c>
      <c r="D4" s="15" t="inlineStr">
        <is>
          <t>张 XX</t>
        </is>
      </c>
      <c r="E4" s="15" t="n">
        <v>55</v>
      </c>
      <c r="F4" s="15" t="inlineStr">
        <is>
          <t>邯郸</t>
        </is>
      </c>
      <c r="G4" s="15" t="inlineStr">
        <is>
          <t>钢管</t>
        </is>
      </c>
      <c r="H4" s="15" t="inlineStr">
        <is>
          <t>老板</t>
        </is>
      </c>
      <c r="I4" s="15" t="inlineStr">
        <is>
          <t>5/11</t>
        </is>
      </c>
      <c r="J4" s="15" t="inlineStr">
        <is>
          <t>5/14</t>
        </is>
      </c>
      <c r="K4" s="15" t="inlineStr">
        <is>
          <t>已确认实到</t>
        </is>
      </c>
      <c r="L4" s="15" t="inlineStr">
        <is>
          <t>主讲嘉宾</t>
        </is>
      </c>
    </row>
    <row r="5">
      <c r="A5" s="10" t="n">
        <v>2</v>
      </c>
      <c r="B5" s="15" t="inlineStr">
        <is>
          <t>必到</t>
        </is>
      </c>
      <c r="C5" s="15" t="inlineStr">
        <is>
          <t>XX 协会</t>
        </is>
      </c>
      <c r="D5" s="15" t="inlineStr">
        <is>
          <t>李 XX</t>
        </is>
      </c>
      <c r="E5" s="15" t="n">
        <v>60</v>
      </c>
      <c r="F5" s="15" t="inlineStr">
        <is>
          <t>北京</t>
        </is>
      </c>
      <c r="G5" s="15" t="inlineStr">
        <is>
          <t>协会</t>
        </is>
      </c>
      <c r="H5" s="15" t="inlineStr">
        <is>
          <t>老板</t>
        </is>
      </c>
      <c r="I5" s="15" t="inlineStr">
        <is>
          <t>5/11</t>
        </is>
      </c>
      <c r="J5" s="15" t="inlineStr">
        <is>
          <t>5/15</t>
        </is>
      </c>
      <c r="K5" s="15" t="inlineStr">
        <is>
          <t>已确认实到</t>
        </is>
      </c>
      <c r="L5" s="15" t="inlineStr">
        <is>
          <t>特邀致辞</t>
        </is>
      </c>
    </row>
    <row r="6">
      <c r="A6" s="10" t="n">
        <v>3</v>
      </c>
      <c r="B6" s="15" t="inlineStr">
        <is>
          <t>必到</t>
        </is>
      </c>
      <c r="C6" s="15" t="inlineStr">
        <is>
          <t>XX 钢管科技</t>
        </is>
      </c>
      <c r="D6" s="15" t="inlineStr">
        <is>
          <t>王 XX</t>
        </is>
      </c>
      <c r="E6" s="15" t="n">
        <v>52</v>
      </c>
      <c r="F6" s="15" t="inlineStr">
        <is>
          <t>天津</t>
        </is>
      </c>
      <c r="G6" s="15" t="inlineStr">
        <is>
          <t>钢管</t>
        </is>
      </c>
      <c r="H6" s="15" t="inlineStr">
        <is>
          <t>老板</t>
        </is>
      </c>
      <c r="I6" s="15" t="inlineStr">
        <is>
          <t>5/11</t>
        </is>
      </c>
      <c r="J6" s="15" t="inlineStr"/>
      <c r="K6" s="15" t="inlineStr">
        <is>
          <t>已电话邀约</t>
        </is>
      </c>
      <c r="L6" s="15" t="inlineStr"/>
    </row>
    <row r="7">
      <c r="A7" s="10" t="n">
        <v>4</v>
      </c>
      <c r="B7" s="15" t="inlineStr">
        <is>
          <t>必到</t>
        </is>
      </c>
      <c r="C7" s="15" t="inlineStr">
        <is>
          <t>XX 镀锌厂</t>
        </is>
      </c>
      <c r="D7" s="15" t="inlineStr">
        <is>
          <t>赵 XX</t>
        </is>
      </c>
      <c r="E7" s="15" t="n">
        <v>48</v>
      </c>
      <c r="F7" s="15" t="inlineStr">
        <is>
          <t>佛山</t>
        </is>
      </c>
      <c r="G7" s="15" t="inlineStr">
        <is>
          <t>镀锌冷卷</t>
        </is>
      </c>
      <c r="H7" s="15" t="inlineStr">
        <is>
          <t>老板</t>
        </is>
      </c>
      <c r="I7" s="15" t="inlineStr">
        <is>
          <t>5/11</t>
        </is>
      </c>
      <c r="J7" s="15" t="inlineStr"/>
      <c r="K7" s="15" t="inlineStr">
        <is>
          <t>已电话邀约</t>
        </is>
      </c>
      <c r="L7" s="15" t="inlineStr"/>
    </row>
    <row r="8">
      <c r="A8" s="10" t="n">
        <v>5</v>
      </c>
      <c r="B8" s="15" t="inlineStr">
        <is>
          <t>力争</t>
        </is>
      </c>
      <c r="C8" s="15" t="inlineStr">
        <is>
          <t>XX 开平加工</t>
        </is>
      </c>
      <c r="D8" s="15" t="inlineStr">
        <is>
          <t>钱 XX</t>
        </is>
      </c>
      <c r="E8" s="15" t="n">
        <v>45</v>
      </c>
      <c r="F8" s="15" t="inlineStr">
        <is>
          <t>宁波</t>
        </is>
      </c>
      <c r="G8" s="15" t="inlineStr">
        <is>
          <t>开平纵剪</t>
        </is>
      </c>
      <c r="H8" s="15" t="inlineStr">
        <is>
          <t>销售总监B</t>
        </is>
      </c>
      <c r="I8" s="15" t="inlineStr">
        <is>
          <t>5/12</t>
        </is>
      </c>
      <c r="J8" s="15" t="inlineStr"/>
      <c r="K8" s="15" t="inlineStr">
        <is>
          <t>邀请函已发</t>
        </is>
      </c>
      <c r="L8" s="15" t="inlineStr"/>
    </row>
    <row r="9">
      <c r="A9" s="10" t="n">
        <v>6</v>
      </c>
      <c r="B9" s="15" t="inlineStr">
        <is>
          <t>力争</t>
        </is>
      </c>
      <c r="C9" s="15" t="inlineStr">
        <is>
          <t>XX 钢铁集团</t>
        </is>
      </c>
      <c r="D9" s="15" t="inlineStr">
        <is>
          <t>孙 XX</t>
        </is>
      </c>
      <c r="E9" s="15" t="n">
        <v>58</v>
      </c>
      <c r="F9" s="15" t="inlineStr">
        <is>
          <t>聊城</t>
        </is>
      </c>
      <c r="G9" s="15" t="inlineStr">
        <is>
          <t>一体厂</t>
        </is>
      </c>
      <c r="H9" s="15" t="inlineStr">
        <is>
          <t>销售总监A</t>
        </is>
      </c>
      <c r="I9" s="15" t="inlineStr">
        <is>
          <t>5/12</t>
        </is>
      </c>
      <c r="J9" s="15" t="inlineStr"/>
      <c r="K9" s="15" t="inlineStr">
        <is>
          <t>邀请函已发</t>
        </is>
      </c>
      <c r="L9" s="15" t="inlineStr"/>
    </row>
    <row r="10">
      <c r="A10" s="10" t="n">
        <v>7</v>
      </c>
      <c r="B10" s="15" t="inlineStr">
        <is>
          <t>力争</t>
        </is>
      </c>
      <c r="C10" s="15" t="inlineStr">
        <is>
          <t>XX 焊管厂</t>
        </is>
      </c>
      <c r="D10" s="15" t="inlineStr">
        <is>
          <t>周 XX</t>
        </is>
      </c>
      <c r="E10" s="15" t="n">
        <v>50</v>
      </c>
      <c r="F10" s="15" t="inlineStr">
        <is>
          <t>湖州</t>
        </is>
      </c>
      <c r="G10" s="15" t="inlineStr">
        <is>
          <t>钢管</t>
        </is>
      </c>
      <c r="H10" s="15" t="inlineStr">
        <is>
          <t>销售总监A</t>
        </is>
      </c>
      <c r="I10" s="15" t="inlineStr">
        <is>
          <t>5/12</t>
        </is>
      </c>
      <c r="J10" s="15" t="inlineStr"/>
      <c r="K10" s="15" t="inlineStr">
        <is>
          <t>邀请函已发</t>
        </is>
      </c>
      <c r="L10" s="15" t="inlineStr"/>
    </row>
    <row r="11">
      <c r="A11" s="10" t="n">
        <v>8</v>
      </c>
      <c r="B11" s="15" t="inlineStr">
        <is>
          <t>力争</t>
        </is>
      </c>
      <c r="C11" s="15" t="inlineStr">
        <is>
          <t>XX 冷卷厂</t>
        </is>
      </c>
      <c r="D11" s="15" t="inlineStr">
        <is>
          <t>吴 XX</t>
        </is>
      </c>
      <c r="E11" s="15" t="n">
        <v>47</v>
      </c>
      <c r="F11" s="15" t="inlineStr">
        <is>
          <t>邯郸</t>
        </is>
      </c>
      <c r="G11" s="15" t="inlineStr">
        <is>
          <t>镀锌冷卷</t>
        </is>
      </c>
      <c r="H11" s="15" t="inlineStr">
        <is>
          <t>销售总监A</t>
        </is>
      </c>
      <c r="I11" s="15" t="inlineStr">
        <is>
          <t>5/12</t>
        </is>
      </c>
      <c r="J11" s="15" t="inlineStr"/>
      <c r="K11" s="15" t="inlineStr">
        <is>
          <t>邀请函已发</t>
        </is>
      </c>
      <c r="L11" s="15" t="inlineStr"/>
    </row>
    <row r="12">
      <c r="A12" s="10" t="n">
        <v>9</v>
      </c>
      <c r="B12" s="15" t="inlineStr">
        <is>
          <t>力争</t>
        </is>
      </c>
      <c r="C12" s="15" t="inlineStr">
        <is>
          <t>XX 纵剪线</t>
        </is>
      </c>
      <c r="D12" s="15" t="inlineStr">
        <is>
          <t>郑 XX</t>
        </is>
      </c>
      <c r="E12" s="15" t="n">
        <v>43</v>
      </c>
      <c r="F12" s="15" t="inlineStr">
        <is>
          <t>苏州</t>
        </is>
      </c>
      <c r="G12" s="15" t="inlineStr">
        <is>
          <t>开平纵剪</t>
        </is>
      </c>
      <c r="H12" s="15" t="inlineStr">
        <is>
          <t>销售总监B</t>
        </is>
      </c>
      <c r="I12" s="15" t="inlineStr">
        <is>
          <t>5/13</t>
        </is>
      </c>
      <c r="J12" s="15" t="inlineStr"/>
      <c r="K12" s="15" t="inlineStr">
        <is>
          <t>邀请函已发</t>
        </is>
      </c>
      <c r="L12" s="15" t="inlineStr"/>
    </row>
    <row r="13">
      <c r="A13" s="10" t="n">
        <v>10</v>
      </c>
      <c r="B13" s="15" t="inlineStr">
        <is>
          <t>加分</t>
        </is>
      </c>
      <c r="C13" s="15" t="inlineStr">
        <is>
          <t>XX 钢管</t>
        </is>
      </c>
      <c r="D13" s="15" t="inlineStr">
        <is>
          <t>冯 XX</t>
        </is>
      </c>
      <c r="E13" s="15" t="n">
        <v>41</v>
      </c>
      <c r="F13" s="15" t="inlineStr">
        <is>
          <t>天津</t>
        </is>
      </c>
      <c r="G13" s="15" t="inlineStr">
        <is>
          <t>钢管</t>
        </is>
      </c>
      <c r="H13" s="15" t="inlineStr">
        <is>
          <t>销售运营</t>
        </is>
      </c>
      <c r="I13" s="15" t="inlineStr">
        <is>
          <t>5/13</t>
        </is>
      </c>
      <c r="J13" s="15" t="inlineStr"/>
      <c r="K13" s="15" t="inlineStr">
        <is>
          <t>名单已圈定</t>
        </is>
      </c>
      <c r="L13" s="15" t="inlineStr"/>
    </row>
    <row r="14">
      <c r="A14" s="10" t="n">
        <v>11</v>
      </c>
      <c r="B14" s="15" t="inlineStr">
        <is>
          <t>加分</t>
        </is>
      </c>
      <c r="C14" s="15" t="inlineStr">
        <is>
          <t>XX 镀锌</t>
        </is>
      </c>
      <c r="D14" s="15" t="inlineStr">
        <is>
          <t>陈 XX</t>
        </is>
      </c>
      <c r="E14" s="15" t="n">
        <v>49</v>
      </c>
      <c r="F14" s="15" t="inlineStr">
        <is>
          <t>广州</t>
        </is>
      </c>
      <c r="G14" s="15" t="inlineStr">
        <is>
          <t>镀锌冷卷</t>
        </is>
      </c>
      <c r="H14" s="15" t="inlineStr">
        <is>
          <t>销售运营</t>
        </is>
      </c>
      <c r="I14" s="15" t="inlineStr">
        <is>
          <t>5/13</t>
        </is>
      </c>
      <c r="J14" s="15" t="inlineStr"/>
      <c r="K14" s="15" t="inlineStr">
        <is>
          <t>名单已圈定</t>
        </is>
      </c>
      <c r="L14" s="15" t="inlineStr"/>
    </row>
    <row r="15">
      <c r="A15" s="10" t="n">
        <v>12</v>
      </c>
      <c r="B15" s="15" t="inlineStr">
        <is>
          <t>加分</t>
        </is>
      </c>
      <c r="C15" s="15" t="inlineStr">
        <is>
          <t>XX 集团</t>
        </is>
      </c>
      <c r="D15" s="15" t="inlineStr">
        <is>
          <t>褚 XX</t>
        </is>
      </c>
      <c r="E15" s="15" t="n">
        <v>56</v>
      </c>
      <c r="F15" s="15" t="inlineStr">
        <is>
          <t>苏州</t>
        </is>
      </c>
      <c r="G15" s="15" t="inlineStr">
        <is>
          <t>一体厂</t>
        </is>
      </c>
      <c r="H15" s="15" t="inlineStr">
        <is>
          <t>销售运营</t>
        </is>
      </c>
      <c r="I15" s="15" t="inlineStr">
        <is>
          <t>5/13</t>
        </is>
      </c>
      <c r="J15" s="15" t="inlineStr"/>
      <c r="K15" s="15" t="inlineStr">
        <is>
          <t>名单已圈定</t>
        </is>
      </c>
      <c r="L15" s="15" t="inlineStr"/>
    </row>
  </sheetData>
  <mergeCells count="1">
    <mergeCell ref="A1:L1"/>
  </mergeCells>
  <conditionalFormatting sqref="K4:K15">
    <cfRule type="cellIs" priority="1" operator="equal" dxfId="0">
      <formula>"已确认实到"</formula>
    </cfRule>
    <cfRule type="cellIs" priority="2" operator="equal" dxfId="1">
      <formula>"待定中"</formula>
    </cfRule>
    <cfRule type="cellIs" priority="3" operator="equal" dxfId="2">
      <formula>"已婉拒"</formula>
    </cfRule>
    <cfRule type="cellIs" priority="4" operator="equal" dxfId="3">
      <formula>"已回访（T-1）"</formula>
    </cfRule>
  </conditionalFormatting>
  <dataValidations count="4">
    <dataValidation sqref="B4:B15" showDropDown="0" showInputMessage="0" showErrorMessage="0" allowBlank="1" type="list">
      <formula1>"必到,力争,加分,备选"</formula1>
    </dataValidation>
    <dataValidation sqref="G4:G15" showDropDown="0" showInputMessage="0" showErrorMessage="0" allowBlank="1" type="list">
      <formula1>"钢管,镀锌冷卷,开平纵剪,一体厂,协会"</formula1>
    </dataValidation>
    <dataValidation sqref="H4:H15" showDropDown="0" showInputMessage="0" showErrorMessage="0" allowBlank="1" type="list">
      <formula1>"老板,销售总监A,销售总监B,销售运营,灯塔厂老板"</formula1>
    </dataValidation>
    <dataValidation sqref="K4:K15" showDropDown="0" showInputMessage="0" showErrorMessage="0" allowBlank="1" type="list">
      <formula1>"名单已圈定,邀请函已发,已电话邀约,已确认实到,待定中,已婉拒,已回访（T-1）"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36" customWidth="1" min="4" max="4"/>
    <col width="16" customWidth="1" min="5" max="5"/>
    <col width="20" customWidth="1" min="6" max="6"/>
  </cols>
  <sheetData>
    <row r="2">
      <c r="B2" s="1" t="inlineStr">
        <is>
          <t>5 周邀约时间轴（W3 → W8）</t>
        </is>
      </c>
    </row>
    <row r="4">
      <c r="B4" s="2" t="inlineStr">
        <is>
          <t>阶段</t>
        </is>
      </c>
      <c r="C4" s="2" t="inlineStr">
        <is>
          <t>周次/日期</t>
        </is>
      </c>
      <c r="D4" s="2" t="inlineStr">
        <is>
          <t>动作</t>
        </is>
      </c>
      <c r="E4" s="2" t="inlineStr">
        <is>
          <t>责任人</t>
        </is>
      </c>
      <c r="F4" s="2" t="inlineStr">
        <is>
          <t>完成情况</t>
        </is>
      </c>
    </row>
    <row r="5" ht="22" customHeight="1">
      <c r="B5" s="10" t="inlineStr">
        <is>
          <t>T-5</t>
        </is>
      </c>
      <c r="C5" s="16" t="inlineStr">
        <is>
          <t>W3 周一</t>
        </is>
      </c>
      <c r="D5" s="12" t="inlineStr">
        <is>
          <t>时间地点最终决定（佛山乐从）</t>
        </is>
      </c>
      <c r="E5" s="16" t="inlineStr">
        <is>
          <t>老板+总监+行政</t>
        </is>
      </c>
      <c r="F5" s="14" t="inlineStr"/>
    </row>
    <row r="6" ht="22" customHeight="1">
      <c r="B6" s="10" t="inlineStr">
        <is>
          <t>T-5</t>
        </is>
      </c>
      <c r="C6" s="16" t="inlineStr">
        <is>
          <t>W3 周二</t>
        </is>
      </c>
      <c r="D6" s="12" t="inlineStr">
        <is>
          <t>包间预定（高端粤菜）</t>
        </is>
      </c>
      <c r="E6" s="16" t="inlineStr">
        <is>
          <t>行政</t>
        </is>
      </c>
      <c r="F6" s="14" t="inlineStr"/>
    </row>
    <row r="7" ht="22" customHeight="1">
      <c r="B7" s="10" t="inlineStr">
        <is>
          <t>T-5</t>
        </is>
      </c>
      <c r="C7" s="16" t="inlineStr">
        <is>
          <t>W3 周三</t>
        </is>
      </c>
      <c r="D7" s="12" t="inlineStr">
        <is>
          <t>圈定 12 位老板初版名单</t>
        </is>
      </c>
      <c r="E7" s="16" t="inlineStr">
        <is>
          <t>老板+AB</t>
        </is>
      </c>
      <c r="F7" s="14" t="inlineStr"/>
    </row>
    <row r="8" ht="22" customHeight="1">
      <c r="B8" s="10" t="inlineStr">
        <is>
          <t>T-5</t>
        </is>
      </c>
      <c r="C8" s="16" t="inlineStr">
        <is>
          <t>W3 周四</t>
        </is>
      </c>
      <c r="D8" s="12" t="inlineStr">
        <is>
          <t>12 位老板分档（必到4/力争5/加分3）</t>
        </is>
      </c>
      <c r="E8" s="16" t="inlineStr">
        <is>
          <t>老板</t>
        </is>
      </c>
      <c r="F8" s="14" t="inlineStr"/>
    </row>
    <row r="9" ht="22" customHeight="1">
      <c r="B9" s="10" t="inlineStr">
        <is>
          <t>T-5</t>
        </is>
      </c>
      <c r="C9" s="16" t="inlineStr">
        <is>
          <t>W3 周五</t>
        </is>
      </c>
      <c r="D9" s="12" t="inlineStr">
        <is>
          <t>邀请函设计稿初版</t>
        </is>
      </c>
      <c r="E9" s="16" t="inlineStr">
        <is>
          <t>市场</t>
        </is>
      </c>
      <c r="F9" s="14" t="inlineStr"/>
    </row>
    <row r="10" ht="22" customHeight="1">
      <c r="B10" s="10" t="inlineStr">
        <is>
          <t>T-4</t>
        </is>
      </c>
      <c r="C10" s="16" t="inlineStr">
        <is>
          <t>W4 周一</t>
        </is>
      </c>
      <c r="D10" s="12" t="inlineStr">
        <is>
          <t>邀请函 PDF 终稿</t>
        </is>
      </c>
      <c r="E10" s="16" t="inlineStr">
        <is>
          <t>市场</t>
        </is>
      </c>
      <c r="F10" s="14" t="inlineStr"/>
    </row>
    <row r="11" ht="22" customHeight="1">
      <c r="B11" s="10" t="inlineStr">
        <is>
          <t>T-4</t>
        </is>
      </c>
      <c r="C11" s="16" t="inlineStr">
        <is>
          <t>W4 周一下午</t>
        </is>
      </c>
      <c r="D11" s="12" t="inlineStr">
        <is>
          <t>★ 老板亲自电话邀约 4 位必到</t>
        </is>
      </c>
      <c r="E11" s="16" t="inlineStr">
        <is>
          <t>老板</t>
        </is>
      </c>
      <c r="F11" s="14" t="inlineStr"/>
    </row>
    <row r="12" ht="22" customHeight="1">
      <c r="B12" s="10" t="inlineStr">
        <is>
          <t>T-4</t>
        </is>
      </c>
      <c r="C12" s="16" t="inlineStr">
        <is>
          <t>W4 周二</t>
        </is>
      </c>
      <c r="D12" s="12" t="inlineStr">
        <is>
          <t>销售总监 A 邀约 3 位力争（钢管类）</t>
        </is>
      </c>
      <c r="E12" s="16" t="inlineStr">
        <is>
          <t>A</t>
        </is>
      </c>
      <c r="F12" s="14" t="inlineStr"/>
    </row>
    <row r="13" ht="22" customHeight="1">
      <c r="B13" s="10" t="inlineStr">
        <is>
          <t>T-4</t>
        </is>
      </c>
      <c r="C13" s="16" t="inlineStr">
        <is>
          <t>W4 周二</t>
        </is>
      </c>
      <c r="D13" s="12" t="inlineStr">
        <is>
          <t>销售总监 B 邀约 2 位力争（开平类）</t>
        </is>
      </c>
      <c r="E13" s="16" t="inlineStr">
        <is>
          <t>B</t>
        </is>
      </c>
      <c r="F13" s="14" t="inlineStr"/>
    </row>
    <row r="14" ht="22" customHeight="1">
      <c r="B14" s="10" t="inlineStr">
        <is>
          <t>T-4</t>
        </is>
      </c>
      <c r="C14" s="16" t="inlineStr">
        <is>
          <t>W4 周三</t>
        </is>
      </c>
      <c r="D14" s="12" t="inlineStr">
        <is>
          <t>销售运营邀约 3 位加分</t>
        </is>
      </c>
      <c r="E14" s="16" t="inlineStr">
        <is>
          <t>运营</t>
        </is>
      </c>
      <c r="F14" s="14" t="inlineStr"/>
    </row>
    <row r="15" ht="22" customHeight="1">
      <c r="B15" s="10" t="inlineStr">
        <is>
          <t>T-4</t>
        </is>
      </c>
      <c r="C15" s="16" t="inlineStr">
        <is>
          <t>W4 周四</t>
        </is>
      </c>
      <c r="D15" s="12" t="inlineStr">
        <is>
          <t>邀请函电子版统一发送</t>
        </is>
      </c>
      <c r="E15" s="16" t="inlineStr">
        <is>
          <t>全员</t>
        </is>
      </c>
      <c r="F15" s="14" t="inlineStr"/>
    </row>
    <row r="16" ht="22" customHeight="1">
      <c r="B16" s="10" t="inlineStr">
        <is>
          <t>T-4</t>
        </is>
      </c>
      <c r="C16" s="16" t="inlineStr">
        <is>
          <t>W4 周五</t>
        </is>
      </c>
      <c r="D16" s="12" t="inlineStr">
        <is>
          <t>汇总：已确认/待定/婉拒</t>
        </is>
      </c>
      <c r="E16" s="16" t="inlineStr">
        <is>
          <t>运营</t>
        </is>
      </c>
      <c r="F16" s="14" t="inlineStr"/>
    </row>
    <row r="17" ht="22" customHeight="1">
      <c r="B17" s="5" t="inlineStr">
        <is>
          <t>T-3</t>
        </is>
      </c>
      <c r="C17" s="17" t="inlineStr">
        <is>
          <t>W5 周一</t>
        </is>
      </c>
      <c r="D17" s="18" t="inlineStr">
        <is>
          <t>未确认者电话跟进</t>
        </is>
      </c>
      <c r="E17" s="17" t="inlineStr">
        <is>
          <t>对应负责人</t>
        </is>
      </c>
      <c r="F17" s="14" t="inlineStr"/>
    </row>
    <row r="18" ht="22" customHeight="1">
      <c r="B18" s="5" t="inlineStr">
        <is>
          <t>T-3</t>
        </is>
      </c>
      <c r="C18" s="17" t="inlineStr">
        <is>
          <t>W5 周三</t>
        </is>
      </c>
      <c r="D18" s="18" t="inlineStr">
        <is>
          <t>★ 灯塔厂老板亲自致电 5 位老板</t>
        </is>
      </c>
      <c r="E18" s="17" t="inlineStr">
        <is>
          <t>灯塔厂老板</t>
        </is>
      </c>
      <c r="F18" s="14" t="inlineStr"/>
    </row>
    <row r="19" ht="22" customHeight="1">
      <c r="B19" s="5" t="inlineStr">
        <is>
          <t>T-3</t>
        </is>
      </c>
      <c r="C19" s="17" t="inlineStr">
        <is>
          <t>W5 周四</t>
        </is>
      </c>
      <c r="D19" s="18" t="inlineStr">
        <is>
          <t>如确认数 &lt; 8 → 启动备选 3-5 位</t>
        </is>
      </c>
      <c r="E19" s="17" t="inlineStr">
        <is>
          <t>老板</t>
        </is>
      </c>
      <c r="F19" s="14" t="inlineStr"/>
    </row>
    <row r="20" ht="22" customHeight="1">
      <c r="B20" s="5" t="inlineStr">
        <is>
          <t>T-3</t>
        </is>
      </c>
      <c r="C20" s="17" t="inlineStr">
        <is>
          <t>W5 周五</t>
        </is>
      </c>
      <c r="D20" s="18" t="inlineStr">
        <is>
          <t>T-3 周状态汇总</t>
        </is>
      </c>
      <c r="E20" s="17" t="inlineStr">
        <is>
          <t>运营</t>
        </is>
      </c>
      <c r="F20" s="14" t="inlineStr"/>
    </row>
    <row r="21" ht="22" customHeight="1">
      <c r="B21" s="5" t="inlineStr">
        <is>
          <t>T-2</t>
        </is>
      </c>
      <c r="C21" s="17" t="inlineStr">
        <is>
          <t>W6 周一</t>
        </is>
      </c>
      <c r="D21" s="18" t="inlineStr">
        <is>
          <t>实体邀请函印刷完成</t>
        </is>
      </c>
      <c r="E21" s="17" t="inlineStr">
        <is>
          <t>市场+行政</t>
        </is>
      </c>
      <c r="F21" s="14" t="inlineStr"/>
    </row>
    <row r="22" ht="22" customHeight="1">
      <c r="B22" s="5" t="inlineStr">
        <is>
          <t>T-2</t>
        </is>
      </c>
      <c r="C22" s="17" t="inlineStr">
        <is>
          <t>W6 周二</t>
        </is>
      </c>
      <c r="D22" s="18" t="inlineStr">
        <is>
          <t>EMS 寄送至 12 位老板办公室</t>
        </is>
      </c>
      <c r="E22" s="17" t="inlineStr">
        <is>
          <t>行政</t>
        </is>
      </c>
      <c r="F22" s="14" t="inlineStr"/>
    </row>
    <row r="23" ht="22" customHeight="1">
      <c r="B23" s="5" t="inlineStr">
        <is>
          <t>T-2</t>
        </is>
      </c>
      <c r="C23" s="17" t="inlineStr">
        <is>
          <t>W6 周三</t>
        </is>
      </c>
      <c r="D23" s="18" t="inlineStr">
        <is>
          <t>短信 + 微信二次确认</t>
        </is>
      </c>
      <c r="E23" s="17" t="inlineStr">
        <is>
          <t>对应负责人</t>
        </is>
      </c>
      <c r="F23" s="14" t="inlineStr"/>
    </row>
    <row r="24" ht="22" customHeight="1">
      <c r="B24" s="5" t="inlineStr">
        <is>
          <t>T-2</t>
        </is>
      </c>
      <c r="C24" s="17" t="inlineStr">
        <is>
          <t>W6 周四</t>
        </is>
      </c>
      <c r="D24" s="18" t="inlineStr">
        <is>
          <t>菜单/酒水/包间/物料/礼品最终确认</t>
        </is>
      </c>
      <c r="E24" s="17" t="inlineStr">
        <is>
          <t>行政+市场</t>
        </is>
      </c>
      <c r="F24" s="14" t="inlineStr"/>
    </row>
    <row r="25" ht="22" customHeight="1">
      <c r="B25" s="5" t="inlineStr">
        <is>
          <t>T-2</t>
        </is>
      </c>
      <c r="C25" s="17" t="inlineStr">
        <is>
          <t>W6 周五</t>
        </is>
      </c>
      <c r="D25" s="18" t="inlineStr">
        <is>
          <t>灯塔厂老板录 3 分钟视频（备用）</t>
        </is>
      </c>
      <c r="E25" s="17" t="inlineStr">
        <is>
          <t>老板+市场</t>
        </is>
      </c>
      <c r="F25" s="14" t="inlineStr"/>
    </row>
    <row r="26" ht="22" customHeight="1">
      <c r="B26" s="19" t="inlineStr">
        <is>
          <t>T-1</t>
        </is>
      </c>
      <c r="C26" s="20" t="inlineStr">
        <is>
          <t>W7 周一</t>
        </is>
      </c>
      <c r="D26" s="21" t="inlineStr">
        <is>
          <t>★ 老板亲自电话最终确认</t>
        </is>
      </c>
      <c r="E26" s="20" t="inlineStr">
        <is>
          <t>老板</t>
        </is>
      </c>
      <c r="F26" s="14" t="inlineStr"/>
    </row>
    <row r="27" ht="22" customHeight="1">
      <c r="B27" s="19" t="inlineStr">
        <is>
          <t>T-1</t>
        </is>
      </c>
      <c r="C27" s="20" t="inlineStr">
        <is>
          <t>W7 周二</t>
        </is>
      </c>
      <c r="D27" s="21" t="inlineStr">
        <is>
          <t>灯塔厂老板演讲稿排练</t>
        </is>
      </c>
      <c r="E27" s="20" t="inlineStr">
        <is>
          <t>灯塔厂老板</t>
        </is>
      </c>
      <c r="F27" s="14" t="inlineStr"/>
    </row>
    <row r="28" ht="22" customHeight="1">
      <c r="B28" s="19" t="inlineStr">
        <is>
          <t>T-1</t>
        </is>
      </c>
      <c r="C28" s="20" t="inlineStr">
        <is>
          <t>W7 周三</t>
        </is>
      </c>
      <c r="D28" s="21" t="inlineStr">
        <is>
          <t>现场踩点（包间/走位/设备）</t>
        </is>
      </c>
      <c r="E28" s="20" t="inlineStr">
        <is>
          <t>市场+行政</t>
        </is>
      </c>
      <c r="F28" s="14" t="inlineStr"/>
    </row>
    <row r="29" ht="22" customHeight="1">
      <c r="B29" s="19" t="inlineStr">
        <is>
          <t>T-1</t>
        </is>
      </c>
      <c r="C29" s="20" t="inlineStr">
        <is>
          <t>W7 周四</t>
        </is>
      </c>
      <c r="D29" s="21" t="inlineStr">
        <is>
          <t>礼品装袋 + 合同夹准备</t>
        </is>
      </c>
      <c r="E29" s="20" t="inlineStr">
        <is>
          <t>行政</t>
        </is>
      </c>
      <c r="F29" s="14" t="inlineStr"/>
    </row>
    <row r="30" ht="22" customHeight="1">
      <c r="B30" s="19" t="inlineStr">
        <is>
          <t>T-1</t>
        </is>
      </c>
      <c r="C30" s="20" t="inlineStr">
        <is>
          <t>W7 周五</t>
        </is>
      </c>
      <c r="D30" s="21" t="inlineStr">
        <is>
          <t>全员预演 + Go/No-Go 决策</t>
        </is>
      </c>
      <c r="E30" s="20" t="inlineStr">
        <is>
          <t>全员</t>
        </is>
      </c>
      <c r="F30" s="14" t="inlineStr"/>
    </row>
    <row r="31" ht="22" customHeight="1">
      <c r="B31" s="22" t="inlineStr">
        <is>
          <t>T 日</t>
        </is>
      </c>
      <c r="C31" s="23" t="inlineStr">
        <is>
          <t>W8 周一-周三</t>
        </is>
      </c>
      <c r="D31" s="24" t="inlineStr">
        <is>
          <t>接待提前到达的老板</t>
        </is>
      </c>
      <c r="E31" s="23" t="inlineStr">
        <is>
          <t>老板+AB</t>
        </is>
      </c>
      <c r="F31" s="14" t="inlineStr"/>
    </row>
    <row r="32" ht="22" customHeight="1">
      <c r="B32" s="22" t="inlineStr">
        <is>
          <t>T 日</t>
        </is>
      </c>
      <c r="C32" s="23" t="inlineStr">
        <is>
          <t>★ W8 周四 17:30</t>
        </is>
      </c>
      <c r="D32" s="24" t="inlineStr">
        <is>
          <t>🔥 老板局正式开始</t>
        </is>
      </c>
      <c r="E32" s="23" t="inlineStr">
        <is>
          <t>全员</t>
        </is>
      </c>
      <c r="F32" s="14" t="inlineStr"/>
    </row>
    <row r="33" ht="22" customHeight="1">
      <c r="B33" s="22" t="inlineStr">
        <is>
          <t>T 日</t>
        </is>
      </c>
      <c r="C33" s="23" t="inlineStr">
        <is>
          <t>W8 周四 18:00-18:15</t>
        </is>
      </c>
      <c r="D33" s="24" t="inlineStr">
        <is>
          <t>主持人开场（避免讲我方公司）</t>
        </is>
      </c>
      <c r="E33" s="23" t="inlineStr">
        <is>
          <t>主持人</t>
        </is>
      </c>
      <c r="F33" s="14" t="inlineStr"/>
    </row>
    <row r="34" ht="22" customHeight="1">
      <c r="B34" s="22" t="inlineStr">
        <is>
          <t>T 日</t>
        </is>
      </c>
      <c r="C34" s="23" t="inlineStr">
        <is>
          <t>W8 周四 18:15-18:45</t>
        </is>
      </c>
      <c r="D34" s="24" t="inlineStr">
        <is>
          <t>灯塔厂老板分享</t>
        </is>
      </c>
      <c r="E34" s="23" t="inlineStr">
        <is>
          <t>灯塔厂老板</t>
        </is>
      </c>
      <c r="F34" s="14" t="inlineStr"/>
    </row>
    <row r="35" ht="22" customHeight="1">
      <c r="B35" s="22" t="inlineStr">
        <is>
          <t>T 日</t>
        </is>
      </c>
      <c r="C35" s="23" t="inlineStr">
        <is>
          <t>W8 周四 18:45-19:00</t>
        </is>
      </c>
      <c r="D35" s="24" t="inlineStr">
        <is>
          <t>★ 我方 CEO 15 分钟产品讲解</t>
        </is>
      </c>
      <c r="E35" s="23" t="inlineStr">
        <is>
          <t>老板</t>
        </is>
      </c>
      <c r="F35" s="14" t="inlineStr"/>
    </row>
    <row r="36" ht="22" customHeight="1">
      <c r="B36" s="22" t="inlineStr">
        <is>
          <t>T 日</t>
        </is>
      </c>
      <c r="C36" s="23" t="inlineStr">
        <is>
          <t>W8 周四 19:00-21:00</t>
        </is>
      </c>
      <c r="D36" s="24" t="inlineStr">
        <is>
          <t>边吃边聊 + 自由提问</t>
        </is>
      </c>
      <c r="E36" s="23" t="inlineStr">
        <is>
          <t>全员</t>
        </is>
      </c>
      <c r="F36" s="14" t="inlineStr"/>
    </row>
    <row r="37" ht="22" customHeight="1">
      <c r="B37" s="22" t="inlineStr">
        <is>
          <t>T 日</t>
        </is>
      </c>
      <c r="C37" s="23" t="inlineStr">
        <is>
          <t>W8 周四 21:00-22:00</t>
        </is>
      </c>
      <c r="D37" s="24" t="inlineStr">
        <is>
          <t>（可选）转场参观灯塔厂</t>
        </is>
      </c>
      <c r="E37" s="23" t="inlineStr">
        <is>
          <t>全员</t>
        </is>
      </c>
      <c r="F37" s="14" t="inlineStr"/>
    </row>
    <row r="38" ht="22" customHeight="1">
      <c r="B38" s="22" t="inlineStr">
        <is>
          <t>T 日</t>
        </is>
      </c>
      <c r="C38" s="23" t="inlineStr">
        <is>
          <t>W8 周四 22:00-23:00</t>
        </is>
      </c>
      <c r="D38" s="24" t="inlineStr">
        <is>
          <t>茶歇 + 个别老板深谈</t>
        </is>
      </c>
      <c r="E38" s="23" t="inlineStr">
        <is>
          <t>老板+AB</t>
        </is>
      </c>
      <c r="F38" s="14" t="inlineStr"/>
    </row>
    <row r="39" ht="22" customHeight="1">
      <c r="B39" s="25" t="inlineStr">
        <is>
          <t>T+1</t>
        </is>
      </c>
      <c r="C39" s="26" t="inlineStr">
        <is>
          <t>W9 周五早晨</t>
        </is>
      </c>
      <c r="D39" s="27" t="inlineStr">
        <is>
          <t>战报朋友圈 + 个性化感谢短信</t>
        </is>
      </c>
      <c r="E39" s="26" t="inlineStr">
        <is>
          <t>老板+市场</t>
        </is>
      </c>
      <c r="F39" s="14" t="inlineStr"/>
    </row>
    <row r="40" ht="22" customHeight="1">
      <c r="B40" s="25" t="inlineStr">
        <is>
          <t>T+1</t>
        </is>
      </c>
      <c r="C40" s="26" t="inlineStr">
        <is>
          <t>W9 周五</t>
        </is>
      </c>
      <c r="D40" s="27" t="inlineStr">
        <is>
          <t>TOP 5 老板当天上门或视频</t>
        </is>
      </c>
      <c r="E40" s="26" t="inlineStr">
        <is>
          <t>老板+AB</t>
        </is>
      </c>
      <c r="F40" s="14" t="inlineStr"/>
    </row>
    <row r="41" ht="22" customHeight="1">
      <c r="B41" s="25" t="inlineStr">
        <is>
          <t>T+3</t>
        </is>
      </c>
      <c r="C41" s="26" t="inlineStr">
        <is>
          <t>W9 下周一-三</t>
        </is>
      </c>
      <c r="D41" s="27" t="inlineStr">
        <is>
          <t>≥ 5 位老板二次拜访</t>
        </is>
      </c>
      <c r="E41" s="26" t="inlineStr">
        <is>
          <t>老板+AB</t>
        </is>
      </c>
      <c r="F41" s="14" t="inlineStr"/>
    </row>
    <row r="42" ht="22" customHeight="1">
      <c r="B42" s="25" t="inlineStr">
        <is>
          <t>T+7</t>
        </is>
      </c>
      <c r="C42" s="26" t="inlineStr">
        <is>
          <t>W10 周二</t>
        </is>
      </c>
      <c r="D42" s="27" t="inlineStr">
        <is>
          <t>≥ 4 位 POC 协议谈判启动</t>
        </is>
      </c>
      <c r="E42" s="26" t="inlineStr">
        <is>
          <t>AB</t>
        </is>
      </c>
      <c r="F42" s="14" t="inlineStr"/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8" customWidth="1" min="3" max="3"/>
    <col width="18" customWidth="1" min="4" max="4"/>
    <col width="18" customWidth="1" min="5" max="5"/>
    <col width="18" customWidth="1" min="6" max="6"/>
    <col width="4" customWidth="1" min="7" max="7"/>
    <col width="4" customWidth="1" min="8" max="8"/>
  </cols>
  <sheetData>
    <row r="2">
      <c r="B2" s="1" t="inlineStr">
        <is>
          <t>大圆桌座位安排示意图（10-12 人）</t>
        </is>
      </c>
    </row>
    <row r="4">
      <c r="D4" s="10" t="inlineStr">
        <is>
          <t>↑ 包间门口</t>
        </is>
      </c>
    </row>
    <row r="6" ht="40" customHeight="1">
      <c r="D6" s="28" t="inlineStr">
        <is>
          <t>主位
[老板/CEO]
（你方）</t>
        </is>
      </c>
    </row>
    <row r="7" ht="40" customHeight="1">
      <c r="C7" s="28" t="inlineStr">
        <is>
          <t>副主位
[协会秘书长]</t>
        </is>
      </c>
      <c r="E7" s="28" t="inlineStr">
        <is>
          <t>主宾
[灯塔厂老板]</t>
        </is>
      </c>
    </row>
    <row r="8" ht="40" customHeight="1">
      <c r="B8" s="28" t="inlineStr">
        <is>
          <t>客 1
[必到老板]</t>
        </is>
      </c>
      <c r="F8" s="28" t="inlineStr">
        <is>
          <t>客 2
[必到老板]</t>
        </is>
      </c>
    </row>
    <row r="9" ht="40" customHeight="1">
      <c r="B9" s="28" t="inlineStr">
        <is>
          <t>客 3
[力争老板]</t>
        </is>
      </c>
      <c r="F9" s="28" t="inlineStr">
        <is>
          <t>客 4
[力争老板]</t>
        </is>
      </c>
    </row>
    <row r="10" ht="40" customHeight="1">
      <c r="C10" s="28" t="inlineStr">
        <is>
          <t>客 5
[力争老板]</t>
        </is>
      </c>
      <c r="E10" s="28" t="inlineStr">
        <is>
          <t>客 6
[力争老板]</t>
        </is>
      </c>
    </row>
    <row r="11" ht="40" customHeight="1">
      <c r="D11" s="28" t="inlineStr">
        <is>
          <t>末位
[加分老板/二代]</t>
        </is>
      </c>
    </row>
    <row r="13">
      <c r="B13" s="29" t="inlineStr">
        <is>
          <t>座位铁律：
1. 同业竞品绝不相邻（提前查公司业务核实）
2. 内向老板坐两个外向老板中间（自然破冰）
3. 二代接班人单独安排区（如有 ≥ 3 位，可后单独安排『二代联谊』）
4. 摄影师位置：主位斜对面（拍合影最佳）
5. 销售总监 A、B 不入主桌，在外间随时接应</t>
        </is>
      </c>
    </row>
    <row r="14"/>
    <row r="15"/>
    <row r="16"/>
    <row r="17"/>
  </sheetData>
  <mergeCells count="3">
    <mergeCell ref="B2:H2"/>
    <mergeCell ref="B13:H17"/>
    <mergeCell ref="D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2">
      <c r="B2" s="1" t="inlineStr">
        <is>
          <t>T+1 → T+30 后续跟进（实到老板转化跟踪）</t>
        </is>
      </c>
    </row>
    <row r="4">
      <c r="B4" s="2" t="inlineStr">
        <is>
          <t>公司+老板</t>
        </is>
      </c>
      <c r="C4" s="2" t="inlineStr">
        <is>
          <t>T+1 感谢短信</t>
        </is>
      </c>
      <c r="D4" s="2" t="inlineStr">
        <is>
          <t>T+3 二次拜访</t>
        </is>
      </c>
      <c r="E4" s="2" t="inlineStr">
        <is>
          <t>T+7 POC 协议</t>
        </is>
      </c>
      <c r="F4" s="2" t="inlineStr">
        <is>
          <t>T+30 签约</t>
        </is>
      </c>
      <c r="G4" s="2" t="inlineStr">
        <is>
          <t>下一步</t>
        </is>
      </c>
    </row>
    <row r="5">
      <c r="B5" s="15" t="n"/>
      <c r="C5" s="15" t="n"/>
      <c r="D5" s="15" t="n"/>
      <c r="E5" s="15" t="n"/>
      <c r="F5" s="15" t="n"/>
      <c r="G5" s="15" t="n"/>
    </row>
    <row r="6">
      <c r="B6" s="15" t="n"/>
      <c r="C6" s="15" t="n"/>
      <c r="D6" s="15" t="n"/>
      <c r="E6" s="15" t="n"/>
      <c r="F6" s="15" t="n"/>
      <c r="G6" s="15" t="n"/>
    </row>
    <row r="7">
      <c r="B7" s="15" t="n"/>
      <c r="C7" s="15" t="n"/>
      <c r="D7" s="15" t="n"/>
      <c r="E7" s="15" t="n"/>
      <c r="F7" s="15" t="n"/>
      <c r="G7" s="15" t="n"/>
    </row>
    <row r="8">
      <c r="B8" s="15" t="n"/>
      <c r="C8" s="15" t="n"/>
      <c r="D8" s="15" t="n"/>
      <c r="E8" s="15" t="n"/>
      <c r="F8" s="15" t="n"/>
      <c r="G8" s="15" t="n"/>
    </row>
    <row r="9">
      <c r="B9" s="15" t="n"/>
      <c r="C9" s="15" t="n"/>
      <c r="D9" s="15" t="n"/>
      <c r="E9" s="15" t="n"/>
      <c r="F9" s="15" t="n"/>
      <c r="G9" s="15" t="n"/>
    </row>
    <row r="10">
      <c r="B10" s="15" t="n"/>
      <c r="C10" s="15" t="n"/>
      <c r="D10" s="15" t="n"/>
      <c r="E10" s="15" t="n"/>
      <c r="F10" s="15" t="n"/>
      <c r="G10" s="15" t="n"/>
    </row>
    <row r="11">
      <c r="B11" s="15" t="n"/>
      <c r="C11" s="15" t="n"/>
      <c r="D11" s="15" t="n"/>
      <c r="E11" s="15" t="n"/>
      <c r="F11" s="15" t="n"/>
      <c r="G11" s="15" t="n"/>
    </row>
    <row r="12">
      <c r="B12" s="15" t="n"/>
      <c r="C12" s="15" t="n"/>
      <c r="D12" s="15" t="n"/>
      <c r="E12" s="15" t="n"/>
      <c r="F12" s="15" t="n"/>
      <c r="G12" s="15" t="n"/>
    </row>
    <row r="14">
      <c r="B14" s="13" t="inlineStr">
        <is>
          <t>★ 90 天 KPI：8 位实到老板 → ≥ 5 位 POC → ≥ 3 位签约</t>
        </is>
      </c>
    </row>
  </sheetData>
  <mergeCells count="2">
    <mergeCell ref="B2:G2"/>
    <mergeCell ref="B14:G14"/>
  </mergeCells>
  <conditionalFormatting sqref="C5:C12">
    <cfRule type="cellIs" priority="1" operator="equal" dxfId="0">
      <formula>"已完成"</formula>
    </cfRule>
    <cfRule type="cellIs" priority="2" operator="equal" dxfId="1">
      <formula>"未完成"</formula>
    </cfRule>
    <cfRule type="cellIs" priority="3" operator="equal" dxfId="2">
      <formula>"放弃"</formula>
    </cfRule>
  </conditionalFormatting>
  <conditionalFormatting sqref="D5:D12">
    <cfRule type="cellIs" priority="4" operator="equal" dxfId="0">
      <formula>"已完成"</formula>
    </cfRule>
    <cfRule type="cellIs" priority="5" operator="equal" dxfId="1">
      <formula>"未完成"</formula>
    </cfRule>
    <cfRule type="cellIs" priority="6" operator="equal" dxfId="2">
      <formula>"放弃"</formula>
    </cfRule>
  </conditionalFormatting>
  <conditionalFormatting sqref="E5:E12">
    <cfRule type="cellIs" priority="7" operator="equal" dxfId="0">
      <formula>"已完成"</formula>
    </cfRule>
    <cfRule type="cellIs" priority="8" operator="equal" dxfId="1">
      <formula>"未完成"</formula>
    </cfRule>
    <cfRule type="cellIs" priority="9" operator="equal" dxfId="2">
      <formula>"放弃"</formula>
    </cfRule>
  </conditionalFormatting>
  <conditionalFormatting sqref="F5:F12">
    <cfRule type="cellIs" priority="10" operator="equal" dxfId="0">
      <formula>"已完成"</formula>
    </cfRule>
    <cfRule type="cellIs" priority="11" operator="equal" dxfId="1">
      <formula>"未完成"</formula>
    </cfRule>
    <cfRule type="cellIs" priority="12" operator="equal" dxfId="2">
      <formula>"放弃"</formula>
    </cfRule>
  </conditionalFormatting>
  <dataValidations count="1">
    <dataValidation sqref="C5:F12" showDropDown="0" showInputMessage="0" showErrorMessage="0" allowBlank="1" type="list">
      <formula1>"已完成,进行中,未完成,放弃"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2026-04-19T01:11:05Z</dcterms:created>
  <dcterms:modified xsi:type="dcterms:W3CDTF">2026-04-19T01:11:06Z</dcterms:modified>
</cp:coreProperties>
</file>