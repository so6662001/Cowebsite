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业务1钢厂主业" sheetId="2" state="visible" r:id="rId2"/>
    <sheet name="业务2钢贸SaaS" sheetId="3" state="visible" r:id="rId3"/>
    <sheet name="业务3平台数据" sheetId="4" state="visible" r:id="rId4"/>
    <sheet name="3业务合并损益" sheetId="5" state="visible" r:id="rId5"/>
    <sheet name="协同效应测算" sheetId="6" state="visible" r:id="rId6"/>
    <sheet name="估值与融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0.0%"/>
  </numFmts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2"/>
    </font>
    <font>
      <name val="Microsoft YaHei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</cols>
  <sheetData>
    <row r="2">
      <c r="B2" s="1" t="inlineStr">
        <is>
          <t>3 业务跨业务财务整合模型</t>
        </is>
      </c>
    </row>
    <row r="4" ht="50" customHeight="1">
      <c r="B4" s="2" t="inlineStr">
        <is>
          <t>3 业务</t>
        </is>
      </c>
      <c r="C4" s="3" t="inlineStr">
        <is>
          <t>业务 1 钢厂主业 / 业务 2 钢贸 SaaS / 业务 3 平台+信用数据</t>
        </is>
      </c>
    </row>
    <row r="5" ht="77.69999999999999" customHeight="1">
      <c r="B5" s="2" t="inlineStr">
        <is>
          <t>使用步骤</t>
        </is>
      </c>
      <c r="C5" s="3" t="inlineStr">
        <is>
          <t>① 业务 1/2/3 各自 sheet → 调整黄色单元格
② 切换『3 业务合并损益』看年度汇总
③ 切换『3 业务合并现金流』看 36 月月度
④ 切换『协同效应测算』看跨业务价值
⑤ 切换『估值与融资』看每年融资节奏</t>
        </is>
      </c>
    </row>
    <row r="6" ht="113.4" customHeight="1">
      <c r="B6" s="2" t="inlineStr">
        <is>
          <t>基准假设</t>
        </is>
      </c>
      <c r="C6" s="3" t="inlineStr">
        <is>
          <t>- 业务 1 钢厂 Y1 ¥800 万 / Y2 ¥2500 万 / Y3 ¥5500 万
- 业务 2 钢贸 SaaS Y1 ¥150 万 / Y2 ¥1900 万 / Y3 ¥2.5 亿
- 业务 3 平台+数据 Y1 ¥50 万 / Y2 ¥700 万 / Y3 ¥5300 万
- 3 业务 3 年合计 ¥3.7 亿</t>
        </is>
      </c>
    </row>
    <row r="7" ht="53.9" customHeight="1">
      <c r="B7" s="2" t="inlineStr">
        <is>
          <t>关键产出</t>
        </is>
      </c>
      <c r="C7" s="3" t="inlineStr">
        <is>
          <t>1. 3 业务整合 ARR
2. 跨业务协同价值（CAC 降低 / LTV 提升）
3. 每年融资缺口 / 自我造血能力
4. 估值演进 + 融资轮次时点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业务 1：钢厂数字化 SaaS（3 年）</t>
        </is>
      </c>
    </row>
    <row r="4">
      <c r="B4" s="2" t="inlineStr">
        <is>
          <t>项</t>
        </is>
      </c>
      <c r="C4" s="2" t="inlineStr">
        <is>
          <t>Y1</t>
        </is>
      </c>
      <c r="D4" s="2" t="inlineStr">
        <is>
          <t>Y2</t>
        </is>
      </c>
      <c r="E4" s="2" t="inlineStr">
        <is>
          <t>Y3</t>
        </is>
      </c>
      <c r="F4" s="2" t="inlineStr">
        <is>
          <t>3 年累计</t>
        </is>
      </c>
    </row>
    <row r="5">
      <c r="B5" s="4" t="inlineStr">
        <is>
          <t>▼ 收入</t>
        </is>
      </c>
    </row>
    <row r="6">
      <c r="B6" s="5" t="inlineStr">
        <is>
          <t>实施费收入</t>
        </is>
      </c>
      <c r="C6" s="6" t="n">
        <v>4000000</v>
      </c>
      <c r="D6" s="6" t="n">
        <v>10000000</v>
      </c>
      <c r="E6" s="6" t="n">
        <v>22000000</v>
      </c>
      <c r="F6" s="7">
        <f>SUM(C6:E6)</f>
        <v/>
      </c>
    </row>
    <row r="7">
      <c r="B7" s="5" t="inlineStr">
        <is>
          <t>月租 SaaS 收入</t>
        </is>
      </c>
      <c r="C7" s="6" t="n">
        <v>3500000</v>
      </c>
      <c r="D7" s="6" t="n">
        <v>13500000</v>
      </c>
      <c r="E7" s="6" t="n">
        <v>30000000</v>
      </c>
      <c r="F7" s="7">
        <f>SUM(C7:E7)</f>
        <v/>
      </c>
    </row>
    <row r="8">
      <c r="B8" s="5" t="inlineStr">
        <is>
          <t>增值服务</t>
        </is>
      </c>
      <c r="C8" s="6" t="n">
        <v>500000</v>
      </c>
      <c r="D8" s="6" t="n">
        <v>1500000</v>
      </c>
      <c r="E8" s="6" t="n">
        <v>3000000</v>
      </c>
      <c r="F8" s="7">
        <f>SUM(C8:E8)</f>
        <v/>
      </c>
    </row>
    <row r="9">
      <c r="B9" s="4" t="inlineStr">
        <is>
          <t>总收入</t>
        </is>
      </c>
      <c r="C9" s="8">
        <f>SUM(C6:C8)</f>
        <v/>
      </c>
      <c r="D9" s="8">
        <f>SUM(D6:D8)</f>
        <v/>
      </c>
      <c r="E9" s="8">
        <f>SUM(E6:E8)</f>
        <v/>
      </c>
      <c r="F9" s="8">
        <f>SUM(F6:F8)</f>
        <v/>
      </c>
    </row>
    <row r="11">
      <c r="B11" s="4" t="inlineStr">
        <is>
          <t>▼ 成本</t>
        </is>
      </c>
    </row>
    <row r="12">
      <c r="B12" s="5" t="inlineStr">
        <is>
          <t>人力成本（销售+实施+客服）</t>
        </is>
      </c>
      <c r="C12" s="9" t="n">
        <v>2400000</v>
      </c>
      <c r="D12" s="9" t="n">
        <v>5500000</v>
      </c>
      <c r="E12" s="9" t="n">
        <v>11000000</v>
      </c>
      <c r="F12" s="10">
        <f>SUM(C12:E12)</f>
        <v/>
      </c>
    </row>
    <row r="13">
      <c r="B13" s="5" t="inlineStr">
        <is>
          <t>营销 + 老板局 + 物料</t>
        </is>
      </c>
      <c r="C13" s="9" t="n">
        <v>1000000</v>
      </c>
      <c r="D13" s="9" t="n">
        <v>2000000</v>
      </c>
      <c r="E13" s="9" t="n">
        <v>4000000</v>
      </c>
      <c r="F13" s="10">
        <f>SUM(C13:E13)</f>
        <v/>
      </c>
    </row>
    <row r="14">
      <c r="B14" s="5" t="inlineStr">
        <is>
          <t>产品 + 技术 + 数据</t>
        </is>
      </c>
      <c r="C14" s="9" t="n">
        <v>800000</v>
      </c>
      <c r="D14" s="9" t="n">
        <v>1500000</v>
      </c>
      <c r="E14" s="9" t="n">
        <v>2500000</v>
      </c>
      <c r="F14" s="10">
        <f>SUM(C14:E14)</f>
        <v/>
      </c>
    </row>
    <row r="15">
      <c r="B15" s="5" t="inlineStr">
        <is>
          <t>行政 + 财务 + 其他</t>
        </is>
      </c>
      <c r="C15" s="9" t="n">
        <v>400000</v>
      </c>
      <c r="D15" s="9" t="n">
        <v>600000</v>
      </c>
      <c r="E15" s="9" t="n">
        <v>1000000</v>
      </c>
      <c r="F15" s="10">
        <f>SUM(C15:E15)</f>
        <v/>
      </c>
    </row>
    <row r="16">
      <c r="B16" s="4" t="inlineStr">
        <is>
          <t>总成本</t>
        </is>
      </c>
      <c r="C16" s="8">
        <f>SUM(C12:C15)</f>
        <v/>
      </c>
      <c r="D16" s="8">
        <f>SUM(D12:D15)</f>
        <v/>
      </c>
      <c r="E16" s="8">
        <f>SUM(E12:E15)</f>
        <v/>
      </c>
      <c r="F16" s="8">
        <f>SUM(F12:F15)</f>
        <v/>
      </c>
    </row>
    <row r="18">
      <c r="B18" s="4" t="inlineStr">
        <is>
          <t>净利润</t>
        </is>
      </c>
      <c r="C18" s="11">
        <f>C9-C16</f>
        <v/>
      </c>
      <c r="D18" s="11">
        <f>D9-D16</f>
        <v/>
      </c>
      <c r="E18" s="11">
        <f>E9-E16</f>
        <v/>
      </c>
      <c r="F18" s="11">
        <f>F9-F16</f>
        <v/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业务 2：钢贸企业 SaaS（3 年）</t>
        </is>
      </c>
    </row>
    <row r="4">
      <c r="B4" s="2" t="inlineStr">
        <is>
          <t>项</t>
        </is>
      </c>
      <c r="C4" s="2" t="inlineStr">
        <is>
          <t>Y1</t>
        </is>
      </c>
      <c r="D4" s="2" t="inlineStr">
        <is>
          <t>Y2</t>
        </is>
      </c>
      <c r="E4" s="2" t="inlineStr">
        <is>
          <t>Y3</t>
        </is>
      </c>
      <c r="F4" s="2" t="inlineStr">
        <is>
          <t>3 年累计</t>
        </is>
      </c>
    </row>
    <row r="5">
      <c r="B5" s="4" t="inlineStr">
        <is>
          <t>▼ 收入</t>
        </is>
      </c>
    </row>
    <row r="6">
      <c r="B6" s="5" t="inlineStr">
        <is>
          <t>ERP/WMS 实施费</t>
        </is>
      </c>
      <c r="C6" s="6" t="n">
        <v>500000</v>
      </c>
      <c r="D6" s="6" t="n">
        <v>6000000</v>
      </c>
      <c r="E6" s="6" t="n">
        <v>30000000</v>
      </c>
      <c r="F6" s="7">
        <f>SUM(C6:E6)</f>
        <v/>
      </c>
    </row>
    <row r="7">
      <c r="B7" s="5" t="inlineStr">
        <is>
          <t>AI 月费订阅</t>
        </is>
      </c>
      <c r="C7" s="6" t="n">
        <v>1000000</v>
      </c>
      <c r="D7" s="6" t="n">
        <v>13000000</v>
      </c>
      <c r="E7" s="6" t="n">
        <v>200000000</v>
      </c>
      <c r="F7" s="7">
        <f>SUM(C7:E7)</f>
        <v/>
      </c>
    </row>
    <row r="8">
      <c r="B8" s="5" t="inlineStr">
        <is>
          <t>货袋子+现货平台增值</t>
        </is>
      </c>
      <c r="C8" s="6" t="n">
        <v>0</v>
      </c>
      <c r="D8" s="6" t="n">
        <v>500000</v>
      </c>
      <c r="E8" s="6" t="n">
        <v>5000000</v>
      </c>
      <c r="F8" s="7">
        <f>SUM(C8:E8)</f>
        <v/>
      </c>
    </row>
    <row r="9">
      <c r="B9" s="5" t="inlineStr">
        <is>
          <t>咨询服务（接班+战略）</t>
        </is>
      </c>
      <c r="C9" s="6" t="n">
        <v>0</v>
      </c>
      <c r="D9" s="6" t="n">
        <v>1000000</v>
      </c>
      <c r="E9" s="6" t="n">
        <v>10000000</v>
      </c>
      <c r="F9" s="7">
        <f>SUM(C9:E9)</f>
        <v/>
      </c>
    </row>
    <row r="10">
      <c r="B10" s="4" t="inlineStr">
        <is>
          <t>总收入</t>
        </is>
      </c>
      <c r="C10" s="8">
        <f>SUM(C6:C9)</f>
        <v/>
      </c>
      <c r="D10" s="8">
        <f>SUM(D6:D9)</f>
        <v/>
      </c>
      <c r="E10" s="8">
        <f>SUM(E6:E9)</f>
        <v/>
      </c>
      <c r="F10" s="8">
        <f>SUM(F6:F9)</f>
        <v/>
      </c>
    </row>
    <row r="12">
      <c r="B12" s="4" t="inlineStr">
        <is>
          <t>▼ 成本</t>
        </is>
      </c>
    </row>
    <row r="13">
      <c r="B13" s="5" t="inlineStr">
        <is>
          <t>人力（销售+CS+顾问）</t>
        </is>
      </c>
      <c r="C13" s="9" t="n">
        <v>1000000</v>
      </c>
      <c r="D13" s="9" t="n">
        <v>6000000</v>
      </c>
      <c r="E13" s="9" t="n">
        <v>30000000</v>
      </c>
      <c r="F13" s="10">
        <f>SUM(C13:E13)</f>
        <v/>
      </c>
    </row>
    <row r="14">
      <c r="B14" s="5" t="inlineStr">
        <is>
          <t>营销 + 推广</t>
        </is>
      </c>
      <c r="C14" s="9" t="n">
        <v>200000</v>
      </c>
      <c r="D14" s="9" t="n">
        <v>1500000</v>
      </c>
      <c r="E14" s="9" t="n">
        <v>8000000</v>
      </c>
      <c r="F14" s="10">
        <f>SUM(C14:E14)</f>
        <v/>
      </c>
    </row>
    <row r="15">
      <c r="B15" s="5" t="inlineStr">
        <is>
          <t>产品 + AI + 数据</t>
        </is>
      </c>
      <c r="C15" s="9" t="n">
        <v>800000</v>
      </c>
      <c r="D15" s="9" t="n">
        <v>3000000</v>
      </c>
      <c r="E15" s="9" t="n">
        <v>15000000</v>
      </c>
      <c r="F15" s="10">
        <f>SUM(C15:E15)</f>
        <v/>
      </c>
    </row>
    <row r="16">
      <c r="B16" s="5" t="inlineStr">
        <is>
          <t>自营 GMV + 平台运营</t>
        </is>
      </c>
      <c r="C16" s="9" t="n">
        <v>100000</v>
      </c>
      <c r="D16" s="9" t="n">
        <v>2000000</v>
      </c>
      <c r="E16" s="9" t="n">
        <v>10000000</v>
      </c>
      <c r="F16" s="10">
        <f>SUM(C16:E16)</f>
        <v/>
      </c>
    </row>
    <row r="17">
      <c r="B17" s="5" t="inlineStr">
        <is>
          <t>行政 + 其他</t>
        </is>
      </c>
      <c r="C17" s="9" t="n">
        <v>100000</v>
      </c>
      <c r="D17" s="9" t="n">
        <v>500000</v>
      </c>
      <c r="E17" s="9" t="n">
        <v>3000000</v>
      </c>
      <c r="F17" s="10">
        <f>SUM(C17:E17)</f>
        <v/>
      </c>
    </row>
    <row r="18">
      <c r="B18" s="4" t="inlineStr">
        <is>
          <t>总成本</t>
        </is>
      </c>
      <c r="C18" s="8">
        <f>SUM(C13:C17)</f>
        <v/>
      </c>
      <c r="D18" s="8">
        <f>SUM(D13:D17)</f>
        <v/>
      </c>
      <c r="E18" s="8">
        <f>SUM(E13:E17)</f>
        <v/>
      </c>
      <c r="F18" s="8">
        <f>SUM(F13:F17)</f>
        <v/>
      </c>
    </row>
    <row r="20">
      <c r="B20" s="4" t="inlineStr">
        <is>
          <t>净利润</t>
        </is>
      </c>
      <c r="C20" s="11">
        <f>C10-C18</f>
        <v/>
      </c>
      <c r="D20" s="11">
        <f>D10-D18</f>
        <v/>
      </c>
      <c r="E20" s="11">
        <f>E10-E18</f>
        <v/>
      </c>
      <c r="F20" s="11">
        <f>F10-F18</f>
        <v/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业务 3：交易平台 + 信用数据（3 年）</t>
        </is>
      </c>
    </row>
    <row r="4">
      <c r="B4" s="2" t="inlineStr">
        <is>
          <t>项</t>
        </is>
      </c>
      <c r="C4" s="2" t="inlineStr">
        <is>
          <t>Y1</t>
        </is>
      </c>
      <c r="D4" s="2" t="inlineStr">
        <is>
          <t>Y2</t>
        </is>
      </c>
      <c r="E4" s="2" t="inlineStr">
        <is>
          <t>Y3</t>
        </is>
      </c>
      <c r="F4" s="2" t="inlineStr">
        <is>
          <t>3 年累计</t>
        </is>
      </c>
    </row>
    <row r="5">
      <c r="B5" s="4" t="inlineStr">
        <is>
          <t>▼ 收入</t>
        </is>
      </c>
    </row>
    <row r="6">
      <c r="B6" s="5" t="inlineStr">
        <is>
          <t>撮合佣金</t>
        </is>
      </c>
      <c r="C6" s="6" t="n">
        <v>300000</v>
      </c>
      <c r="D6" s="6" t="n">
        <v>4000000</v>
      </c>
      <c r="E6" s="6" t="n">
        <v>25000000</v>
      </c>
      <c r="F6" s="7">
        <f>SUM(C6:E6)</f>
        <v/>
      </c>
    </row>
    <row r="7">
      <c r="B7" s="5" t="inlineStr">
        <is>
          <t>仓储+物流分润</t>
        </is>
      </c>
      <c r="C7" s="6" t="n">
        <v>200000</v>
      </c>
      <c r="D7" s="6" t="n">
        <v>1800000</v>
      </c>
      <c r="E7" s="6" t="n">
        <v>14000000</v>
      </c>
      <c r="F7" s="7">
        <f>SUM(C7:E7)</f>
        <v/>
      </c>
    </row>
    <row r="8">
      <c r="B8" s="5" t="inlineStr">
        <is>
          <t>信用数据外卖</t>
        </is>
      </c>
      <c r="C8" s="6" t="n">
        <v>0</v>
      </c>
      <c r="D8" s="6" t="n">
        <v>1000000</v>
      </c>
      <c r="E8" s="6" t="n">
        <v>13000000</v>
      </c>
      <c r="F8" s="7">
        <f>SUM(C8:E8)</f>
        <v/>
      </c>
    </row>
    <row r="9">
      <c r="B9" s="5" t="inlineStr">
        <is>
          <t>票据+担保服务费</t>
        </is>
      </c>
      <c r="C9" s="6" t="n">
        <v>0</v>
      </c>
      <c r="D9" s="6" t="n">
        <v>200000</v>
      </c>
      <c r="E9" s="6" t="n">
        <v>1000000</v>
      </c>
      <c r="F9" s="7">
        <f>SUM(C9:E9)</f>
        <v/>
      </c>
    </row>
    <row r="10">
      <c r="B10" s="4" t="inlineStr">
        <is>
          <t>总收入</t>
        </is>
      </c>
      <c r="C10" s="8">
        <f>SUM(C6:C9)</f>
        <v/>
      </c>
      <c r="D10" s="8">
        <f>SUM(D6:D9)</f>
        <v/>
      </c>
      <c r="E10" s="8">
        <f>SUM(E6:E9)</f>
        <v/>
      </c>
      <c r="F10" s="8">
        <f>SUM(F6:F9)</f>
        <v/>
      </c>
    </row>
    <row r="12">
      <c r="B12" s="4" t="inlineStr">
        <is>
          <t>▼ 成本</t>
        </is>
      </c>
    </row>
    <row r="13">
      <c r="B13" s="5" t="inlineStr">
        <is>
          <t>人力（BD+数据销售+运营）</t>
        </is>
      </c>
      <c r="C13" s="9" t="n">
        <v>300000</v>
      </c>
      <c r="D13" s="9" t="n">
        <v>2000000</v>
      </c>
      <c r="E13" s="9" t="n">
        <v>10000000</v>
      </c>
      <c r="F13" s="10">
        <f>SUM(C13:E13)</f>
        <v/>
      </c>
    </row>
    <row r="14">
      <c r="B14" s="5" t="inlineStr">
        <is>
          <t>营销 + 行业 KOL</t>
        </is>
      </c>
      <c r="C14" s="9" t="n">
        <v>100000</v>
      </c>
      <c r="D14" s="9" t="n">
        <v>600000</v>
      </c>
      <c r="E14" s="9" t="n">
        <v>3000000</v>
      </c>
      <c r="F14" s="10">
        <f>SUM(C14:E14)</f>
        <v/>
      </c>
    </row>
    <row r="15">
      <c r="B15" s="5" t="inlineStr">
        <is>
          <t>数据 + 算法 + 风控</t>
        </is>
      </c>
      <c r="C15" s="9" t="n">
        <v>200000</v>
      </c>
      <c r="D15" s="9" t="n">
        <v>1000000</v>
      </c>
      <c r="E15" s="9" t="n">
        <v>5000000</v>
      </c>
      <c r="F15" s="10">
        <f>SUM(C15:E15)</f>
        <v/>
      </c>
    </row>
    <row r="16">
      <c r="B16" s="5" t="inlineStr">
        <is>
          <t>行政 + 其他</t>
        </is>
      </c>
      <c r="C16" s="9" t="n">
        <v>50000</v>
      </c>
      <c r="D16" s="9" t="n">
        <v>200000</v>
      </c>
      <c r="E16" s="9" t="n">
        <v>1000000</v>
      </c>
      <c r="F16" s="10">
        <f>SUM(C16:E16)</f>
        <v/>
      </c>
    </row>
    <row r="17">
      <c r="B17" s="4" t="inlineStr">
        <is>
          <t>总成本</t>
        </is>
      </c>
      <c r="C17" s="8">
        <f>SUM(C13:C16)</f>
        <v/>
      </c>
      <c r="D17" s="8">
        <f>SUM(D13:D16)</f>
        <v/>
      </c>
      <c r="E17" s="8">
        <f>SUM(E13:E16)</f>
        <v/>
      </c>
      <c r="F17" s="8">
        <f>SUM(F13:F16)</f>
        <v/>
      </c>
    </row>
    <row r="19">
      <c r="B19" s="4" t="inlineStr">
        <is>
          <t>净利润</t>
        </is>
      </c>
      <c r="C19" s="11">
        <f>C10-C17</f>
        <v/>
      </c>
      <c r="D19" s="11">
        <f>D10-D17</f>
        <v/>
      </c>
      <c r="E19" s="11">
        <f>E10-E17</f>
        <v/>
      </c>
      <c r="F19" s="11">
        <f>F10-F17</f>
        <v/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3 业务合并损益表（3 年）</t>
        </is>
      </c>
    </row>
    <row r="4">
      <c r="B4" s="2" t="inlineStr">
        <is>
          <t>项</t>
        </is>
      </c>
      <c r="C4" s="2" t="inlineStr">
        <is>
          <t>Y1</t>
        </is>
      </c>
      <c r="D4" s="2" t="inlineStr">
        <is>
          <t>Y2</t>
        </is>
      </c>
      <c r="E4" s="2" t="inlineStr">
        <is>
          <t>Y3</t>
        </is>
      </c>
      <c r="F4" s="2" t="inlineStr">
        <is>
          <t>3 年累计</t>
        </is>
      </c>
    </row>
    <row r="5">
      <c r="B5" s="12" t="inlineStr">
        <is>
          <t>业务 1 钢厂收入</t>
        </is>
      </c>
      <c r="C5" s="7">
        <f>'业务1钢厂主业'!C9</f>
        <v/>
      </c>
      <c r="D5" s="7">
        <f>'业务1钢厂主业'!D9</f>
        <v/>
      </c>
      <c r="E5" s="7">
        <f>'业务1钢厂主业'!E9</f>
        <v/>
      </c>
      <c r="F5" s="7">
        <f>'业务1钢厂主业'!F9</f>
        <v/>
      </c>
    </row>
    <row r="6">
      <c r="B6" s="12" t="inlineStr">
        <is>
          <t>业务 2 钢贸收入</t>
        </is>
      </c>
      <c r="C6" s="7">
        <f>'业务2钢贸SaaS'!C10</f>
        <v/>
      </c>
      <c r="D6" s="7">
        <f>'业务2钢贸SaaS'!D10</f>
        <v/>
      </c>
      <c r="E6" s="7">
        <f>'业务2钢贸SaaS'!E10</f>
        <v/>
      </c>
      <c r="F6" s="7">
        <f>'业务2钢贸SaaS'!F10</f>
        <v/>
      </c>
    </row>
    <row r="7">
      <c r="B7" s="12" t="inlineStr">
        <is>
          <t>业务 3 平台数据收入</t>
        </is>
      </c>
      <c r="C7" s="7">
        <f>'业务3平台数据'!C10</f>
        <v/>
      </c>
      <c r="D7" s="7">
        <f>'业务3平台数据'!D10</f>
        <v/>
      </c>
      <c r="E7" s="7">
        <f>'业务3平台数据'!E10</f>
        <v/>
      </c>
      <c r="F7" s="7">
        <f>'业务3平台数据'!F10</f>
        <v/>
      </c>
    </row>
    <row r="8">
      <c r="B8" s="4" t="inlineStr">
        <is>
          <t>3 业务总收入</t>
        </is>
      </c>
      <c r="C8" s="8">
        <f>SUM(C5:C7)</f>
        <v/>
      </c>
      <c r="D8" s="8">
        <f>SUM(D5:D7)</f>
        <v/>
      </c>
      <c r="E8" s="8">
        <f>SUM(E5:E7)</f>
        <v/>
      </c>
      <c r="F8" s="8">
        <f>SUM(F5:F7)</f>
        <v/>
      </c>
    </row>
    <row r="10">
      <c r="B10" s="12" t="inlineStr">
        <is>
          <t>业务 1 钢厂成本</t>
        </is>
      </c>
      <c r="C10" s="10">
        <f>'业务1钢厂主业'!C16</f>
        <v/>
      </c>
      <c r="D10" s="10">
        <f>'业务1钢厂主业'!D16</f>
        <v/>
      </c>
      <c r="E10" s="10">
        <f>'业务1钢厂主业'!E16</f>
        <v/>
      </c>
      <c r="F10" s="10">
        <f>'业务1钢厂主业'!F16</f>
        <v/>
      </c>
    </row>
    <row r="11">
      <c r="B11" s="12" t="inlineStr">
        <is>
          <t>业务 2 钢贸成本</t>
        </is>
      </c>
      <c r="C11" s="10">
        <f>'业务2钢贸SaaS'!C18</f>
        <v/>
      </c>
      <c r="D11" s="10">
        <f>'业务2钢贸SaaS'!D18</f>
        <v/>
      </c>
      <c r="E11" s="10">
        <f>'业务2钢贸SaaS'!E18</f>
        <v/>
      </c>
      <c r="F11" s="10">
        <f>'业务2钢贸SaaS'!F18</f>
        <v/>
      </c>
    </row>
    <row r="12">
      <c r="B12" s="12" t="inlineStr">
        <is>
          <t>业务 3 平台成本</t>
        </is>
      </c>
      <c r="C12" s="10">
        <f>'业务3平台数据'!C17</f>
        <v/>
      </c>
      <c r="D12" s="10">
        <f>'业务3平台数据'!D17</f>
        <v/>
      </c>
      <c r="E12" s="10">
        <f>'业务3平台数据'!E17</f>
        <v/>
      </c>
      <c r="F12" s="10">
        <f>'业务3平台数据'!F17</f>
        <v/>
      </c>
    </row>
    <row r="13">
      <c r="B13" s="4" t="inlineStr">
        <is>
          <t>3 业务总成本</t>
        </is>
      </c>
      <c r="C13" s="8">
        <f>SUM(C10:C12)</f>
        <v/>
      </c>
      <c r="D13" s="8">
        <f>SUM(D10:D12)</f>
        <v/>
      </c>
      <c r="E13" s="8">
        <f>SUM(E10:E12)</f>
        <v/>
      </c>
      <c r="F13" s="8">
        <f>SUM(F10:F12)</f>
        <v/>
      </c>
    </row>
    <row r="15">
      <c r="B15" s="13" t="inlineStr">
        <is>
          <t>3 业务净利润</t>
        </is>
      </c>
      <c r="C15" s="14">
        <f>C8-C13</f>
        <v/>
      </c>
      <c r="D15" s="14">
        <f>D8-D13</f>
        <v/>
      </c>
      <c r="E15" s="14">
        <f>E8-E13</f>
        <v/>
      </c>
      <c r="F15" s="14">
        <f>F8-F13</f>
        <v/>
      </c>
    </row>
    <row r="17">
      <c r="B17" s="4" t="inlineStr">
        <is>
          <t>净利率</t>
        </is>
      </c>
      <c r="C17" s="15">
        <f>C15/C8</f>
        <v/>
      </c>
      <c r="D17" s="15">
        <f>D15/D8</f>
        <v/>
      </c>
      <c r="E17" s="15">
        <f>E15/E8</f>
        <v/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24" customWidth="1" min="6" max="6"/>
  </cols>
  <sheetData>
    <row r="2">
      <c r="B2" s="1" t="inlineStr">
        <is>
          <t>3 业务协同效应（额外创造价值）</t>
        </is>
      </c>
    </row>
    <row r="4">
      <c r="B4" s="2" t="inlineStr">
        <is>
          <t>协同方式</t>
        </is>
      </c>
      <c r="C4" s="2" t="inlineStr">
        <is>
          <t>Y1(¥)</t>
        </is>
      </c>
      <c r="D4" s="2" t="inlineStr">
        <is>
          <t>Y2(¥)</t>
        </is>
      </c>
      <c r="E4" s="2" t="inlineStr">
        <is>
          <t>Y3(¥)</t>
        </is>
      </c>
      <c r="F4" s="2" t="inlineStr">
        <is>
          <t>说明</t>
        </is>
      </c>
    </row>
    <row r="5">
      <c r="B5" s="12" t="inlineStr">
        <is>
          <t>业务 1 客户 → 业务 2 引荐</t>
        </is>
      </c>
      <c r="C5" s="7" t="n">
        <v>0</v>
      </c>
      <c r="D5" s="7" t="n">
        <v>1500000</v>
      </c>
      <c r="E5" s="7" t="n">
        <v>8000000</v>
      </c>
      <c r="F5" s="3" t="inlineStr">
        <is>
          <t>钢厂的下游钢贸商 → 钢贸 SaaS</t>
        </is>
      </c>
    </row>
    <row r="6">
      <c r="B6" s="12" t="inlineStr">
        <is>
          <t>业务 2 客户 → 业务 3 数据</t>
        </is>
      </c>
      <c r="C6" s="7" t="n">
        <v>0</v>
      </c>
      <c r="D6" s="7" t="n">
        <v>500000</v>
      </c>
      <c r="E6" s="7" t="n">
        <v>5000000</v>
      </c>
      <c r="F6" s="3" t="inlineStr">
        <is>
          <t>钢贸 SaaS 数据沉淀 → 卖银行</t>
        </is>
      </c>
    </row>
    <row r="7">
      <c r="B7" s="12" t="inlineStr">
        <is>
          <t>业务 1+2 联合销售</t>
        </is>
      </c>
      <c r="C7" s="7" t="n">
        <v>200000</v>
      </c>
      <c r="D7" s="7" t="n">
        <v>2000000</v>
      </c>
      <c r="E7" s="7" t="n">
        <v>8000000</v>
      </c>
      <c r="F7" s="3" t="inlineStr">
        <is>
          <t>三位一体方案高客单价</t>
        </is>
      </c>
    </row>
    <row r="8">
      <c r="B8" s="12" t="inlineStr">
        <is>
          <t>CAC 降低（共享线索）</t>
        </is>
      </c>
      <c r="C8" s="7" t="n">
        <v>100000</v>
      </c>
      <c r="D8" s="7" t="n">
        <v>1500000</v>
      </c>
      <c r="E8" s="7" t="n">
        <v>5000000</v>
      </c>
      <c r="F8" s="3" t="inlineStr">
        <is>
          <t>节省营销 + 销售成本</t>
        </is>
      </c>
    </row>
    <row r="9">
      <c r="B9" s="12" t="inlineStr">
        <is>
          <t>LTV 提升（交叉销售）</t>
        </is>
      </c>
      <c r="C9" s="7" t="n">
        <v>0</v>
      </c>
      <c r="D9" s="7" t="n">
        <v>2000000</v>
      </c>
      <c r="E9" s="7" t="n">
        <v>12000000</v>
      </c>
      <c r="F9" s="3" t="inlineStr">
        <is>
          <t>客户买多个产品</t>
        </is>
      </c>
    </row>
    <row r="10">
      <c r="B10" s="12" t="inlineStr">
        <is>
          <t>数据壁垒带来估值溢价</t>
        </is>
      </c>
      <c r="C10" s="16" t="inlineStr"/>
      <c r="D10" s="16" t="inlineStr"/>
      <c r="E10" s="16" t="inlineStr"/>
      <c r="F10" s="3" t="inlineStr">
        <is>
          <t>20-50% 估值上浮</t>
        </is>
      </c>
    </row>
    <row r="11">
      <c r="B11" s="4" t="inlineStr">
        <is>
          <t>协同总价值（额外）</t>
        </is>
      </c>
      <c r="C11" s="8">
        <f>SUM(C5:C9)</f>
        <v/>
      </c>
      <c r="D11" s="8">
        <f>SUM(D5:D9)</f>
        <v/>
      </c>
      <c r="E11" s="8">
        <f>SUM(E5:E9)</f>
        <v/>
      </c>
    </row>
  </sheetData>
  <mergeCells count="1">
    <mergeCell ref="B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2">
      <c r="B2" s="1" t="inlineStr">
        <is>
          <t>估值演进 + 融资节奏</t>
        </is>
      </c>
    </row>
    <row r="4">
      <c r="B4" s="2" t="inlineStr">
        <is>
          <t>时点</t>
        </is>
      </c>
      <c r="C4" s="2" t="inlineStr">
        <is>
          <t>ARR(¥)</t>
        </is>
      </c>
      <c r="D4" s="2" t="inlineStr">
        <is>
          <t>PS 倍数</t>
        </is>
      </c>
      <c r="E4" s="2" t="inlineStr">
        <is>
          <t>估值(¥)</t>
        </is>
      </c>
      <c r="F4" s="2" t="inlineStr">
        <is>
          <t>建议融资</t>
        </is>
      </c>
    </row>
    <row r="5">
      <c r="B5" s="17" t="inlineStr">
        <is>
          <t>Y0 末（启动）</t>
        </is>
      </c>
      <c r="C5" s="18" t="n">
        <v>0</v>
      </c>
      <c r="D5" s="19" t="inlineStr">
        <is>
          <t>—</t>
        </is>
      </c>
      <c r="E5" s="7" t="n">
        <v>50000000</v>
      </c>
      <c r="F5" s="5" t="inlineStr">
        <is>
          <t>天使 ¥500 万</t>
        </is>
      </c>
    </row>
    <row r="6">
      <c r="B6" s="17" t="inlineStr">
        <is>
          <t>Y1 末</t>
        </is>
      </c>
      <c r="C6" s="18" t="n">
        <v>10000000</v>
      </c>
      <c r="D6" s="19" t="n">
        <v>8</v>
      </c>
      <c r="E6" s="7" t="n">
        <v>80000000</v>
      </c>
      <c r="F6" s="5" t="inlineStr">
        <is>
          <t>Pre-A ¥3,000 万</t>
        </is>
      </c>
    </row>
    <row r="7">
      <c r="B7" s="17" t="inlineStr">
        <is>
          <t>Y2 末</t>
        </is>
      </c>
      <c r="C7" s="18" t="n">
        <v>50000000</v>
      </c>
      <c r="D7" s="19" t="n">
        <v>10</v>
      </c>
      <c r="E7" s="7" t="n">
        <v>500000000</v>
      </c>
      <c r="F7" s="5" t="inlineStr">
        <is>
          <t>A 轮 ¥1-3 亿</t>
        </is>
      </c>
    </row>
    <row r="8">
      <c r="B8" s="20" t="inlineStr">
        <is>
          <t>Y3 末</t>
        </is>
      </c>
      <c r="C8" s="18" t="n">
        <v>300000000</v>
      </c>
      <c r="D8" s="19" t="n">
        <v>8</v>
      </c>
      <c r="E8" s="7" t="n">
        <v>2400000000</v>
      </c>
      <c r="F8" s="21" t="inlineStr">
        <is>
          <t>B 轮 ¥3-10 亿</t>
        </is>
      </c>
    </row>
    <row r="9">
      <c r="B9" s="20" t="inlineStr">
        <is>
          <t>Y4 末（预测）</t>
        </is>
      </c>
      <c r="C9" s="18" t="n">
        <v>600000000</v>
      </c>
      <c r="D9" s="19" t="n">
        <v>10</v>
      </c>
      <c r="E9" s="7" t="n">
        <v>6000000000</v>
      </c>
      <c r="F9" s="21" t="inlineStr">
        <is>
          <t>Pre-IPO ¥10-30 亿</t>
        </is>
      </c>
    </row>
    <row r="10">
      <c r="B10" s="17" t="inlineStr">
        <is>
          <t>Y5+（预测）</t>
        </is>
      </c>
      <c r="C10" s="18" t="n">
        <v>1200000000</v>
      </c>
      <c r="D10" s="19" t="n">
        <v>12</v>
      </c>
      <c r="E10" s="7" t="n">
        <v>14400000000</v>
      </c>
      <c r="F10" s="5" t="inlineStr">
        <is>
          <t>IPO ¥500-1000 亿市值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2026-06-13T18:16:51Z</dcterms:created>
  <dcterms:modified xsi:type="dcterms:W3CDTF">2026-06-13T18:16:51Z</dcterms:modified>
</cp:coreProperties>
</file>