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总览导航" sheetId="1" state="visible" r:id="rId1"/>
    <sheet name="M1 财务" sheetId="2" state="visible" r:id="rId2"/>
    <sheet name="M2 客户" sheetId="3" state="visible" r:id="rId3"/>
    <sheet name="M3 数字化" sheetId="4" state="visible" r:id="rId4"/>
    <sheet name="M4 风控" sheetId="5" state="visible" r:id="rId5"/>
    <sheet name="M5 增长" sheetId="6" state="visible" r:id="rId6"/>
    <sheet name="M6 团队" sheetId="7" state="visible" r:id="rId7"/>
    <sheet name="M7 战略" sheetId="8" state="visible" r:id="rId8"/>
    <sheet name="8 汇总排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00B050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28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钢贸 7 大场景 ROI 计算器 · 总览</t>
        </is>
      </c>
    </row>
    <row r="2" ht="30" customHeight="1">
      <c r="A2" s="2" t="inlineStr">
        <is>
          <t>30 题健康度评分 → 7 模块红区 → 对应场景客户故事 + ROI 计算</t>
        </is>
      </c>
    </row>
    <row r="4" ht="30" customHeight="1">
      <c r="A4" s="3" t="inlineStr">
        <is>
          <t>客户基础信息（请录入）</t>
        </is>
      </c>
    </row>
    <row r="5">
      <c r="B5" s="4" t="inlineStr">
        <is>
          <t>客户公司</t>
        </is>
      </c>
      <c r="C5" s="5" t="inlineStr">
        <is>
          <t>请填写</t>
        </is>
      </c>
      <c r="D5" s="6" t="n"/>
    </row>
    <row r="6">
      <c r="B6" s="4" t="inlineStr">
        <is>
          <t>老板姓名</t>
        </is>
      </c>
      <c r="C6" s="5" t="inlineStr">
        <is>
          <t>请填写</t>
        </is>
      </c>
      <c r="D6" s="6" t="n"/>
    </row>
    <row r="7">
      <c r="B7" s="4" t="inlineStr">
        <is>
          <t>年流水（万元）</t>
        </is>
      </c>
      <c r="C7" s="5" t="n">
        <v>18000</v>
      </c>
      <c r="D7" s="6" t="n"/>
    </row>
    <row r="8">
      <c r="B8" s="4" t="inlineStr">
        <is>
          <t>员工人数</t>
        </is>
      </c>
      <c r="C8" s="5" t="n">
        <v>50</v>
      </c>
      <c r="D8" s="6" t="n"/>
    </row>
    <row r="9">
      <c r="B9" s="4" t="inlineStr">
        <is>
          <t>成立年份</t>
        </is>
      </c>
      <c r="C9" s="5" t="n">
        <v>2005</v>
      </c>
      <c r="D9" s="6" t="n"/>
    </row>
    <row r="10">
      <c r="B10" s="4" t="inlineStr">
        <is>
          <t>销售归属</t>
        </is>
      </c>
      <c r="C10" s="5" t="inlineStr">
        <is>
          <t>请填写</t>
        </is>
      </c>
      <c r="D10" s="6" t="n"/>
    </row>
    <row r="11">
      <c r="B11" s="4" t="inlineStr">
        <is>
          <t>拜访日期</t>
        </is>
      </c>
      <c r="C11" s="5" t="inlineStr">
        <is>
          <t>2026-06-15</t>
        </is>
      </c>
      <c r="D11" s="6" t="n"/>
    </row>
    <row r="12">
      <c r="B12" s="4" t="inlineStr">
        <is>
          <t>销售总监</t>
        </is>
      </c>
      <c r="C12" s="5" t="inlineStr">
        <is>
          <t>请填写</t>
        </is>
      </c>
      <c r="D12" s="6" t="n"/>
    </row>
    <row r="14" ht="30" customHeight="1">
      <c r="A14" s="1" t="inlineStr">
        <is>
          <t>7 大模块健康度评分（自评后填入）</t>
        </is>
      </c>
    </row>
    <row r="15">
      <c r="A15" s="2" t="inlineStr">
        <is>
          <t>#</t>
        </is>
      </c>
      <c r="B15" s="2" t="inlineStr">
        <is>
          <t>模块</t>
        </is>
      </c>
      <c r="C15" s="2" t="inlineStr">
        <is>
          <t>评分</t>
        </is>
      </c>
      <c r="D15" s="2" t="inlineStr">
        <is>
          <t>等级（自动）</t>
        </is>
      </c>
      <c r="E15" s="2" t="inlineStr">
        <is>
          <t>对应场景</t>
        </is>
      </c>
      <c r="F15" s="2" t="inlineStr">
        <is>
          <t>客户故事</t>
        </is>
      </c>
      <c r="G15" s="2" t="inlineStr">
        <is>
          <t>故事主角</t>
        </is>
      </c>
      <c r="H15" s="2" t="inlineStr">
        <is>
          <t>Tab 跳转</t>
        </is>
      </c>
    </row>
    <row r="16">
      <c r="A16" s="7" t="inlineStr">
        <is>
          <t>M1</t>
        </is>
      </c>
      <c r="B16" s="7" t="inlineStr">
        <is>
          <t>财务健康度</t>
        </is>
      </c>
      <c r="C16" s="8" t="n">
        <v>78</v>
      </c>
      <c r="D16" s="7">
        <f>IF(C16&lt;60,"D 红区",IF(C16&lt;70,"C 警示",IF(C16&lt;80,"B 良好","A 健康")))</f>
        <v/>
      </c>
      <c r="E16" s="7" t="inlineStr">
        <is>
          <t>利润 + 现金流</t>
        </is>
      </c>
      <c r="F16" s="7" t="inlineStr">
        <is>
          <t>山东 XX 钢管 王总</t>
        </is>
      </c>
      <c r="G16" s="7" t="inlineStr">
        <is>
          <t>王总</t>
        </is>
      </c>
      <c r="H16" s="7" t="inlineStr">
        <is>
          <t>M1 财务</t>
        </is>
      </c>
    </row>
    <row r="17">
      <c r="A17" s="7" t="inlineStr">
        <is>
          <t>M2</t>
        </is>
      </c>
      <c r="B17" s="7" t="inlineStr">
        <is>
          <t>客户管理</t>
        </is>
      </c>
      <c r="C17" s="3" t="n">
        <v>65</v>
      </c>
      <c r="D17" s="7">
        <f>IF(C17&lt;60,"D 红区",IF(C17&lt;70,"C 警示",IF(C17&lt;80,"B 良好","A 健康")))</f>
        <v/>
      </c>
      <c r="E17" s="7" t="inlineStr">
        <is>
          <t>客户结构 + 销售跑单</t>
        </is>
      </c>
      <c r="F17" s="7" t="inlineStr">
        <is>
          <t>广东 XX 钢贸 陈总</t>
        </is>
      </c>
      <c r="G17" s="7" t="inlineStr">
        <is>
          <t>陈总</t>
        </is>
      </c>
      <c r="H17" s="7" t="inlineStr">
        <is>
          <t>M2 客户</t>
        </is>
      </c>
    </row>
    <row r="18">
      <c r="A18" s="7" t="inlineStr">
        <is>
          <t>M3</t>
        </is>
      </c>
      <c r="B18" s="7" t="inlineStr">
        <is>
          <t>数字化能力</t>
        </is>
      </c>
      <c r="C18" s="3" t="n">
        <v>60</v>
      </c>
      <c r="D18" s="7">
        <f>IF(C18&lt;60,"D 红区",IF(C18&lt;70,"C 警示",IF(C18&lt;80,"B 良好","A 健康")))</f>
        <v/>
      </c>
      <c r="E18" s="7" t="inlineStr">
        <is>
          <t>系统升级 + 出口审厂</t>
        </is>
      </c>
      <c r="F18" s="7" t="inlineStr">
        <is>
          <t>江苏 XX 焊管 周总</t>
        </is>
      </c>
      <c r="G18" s="7" t="inlineStr">
        <is>
          <t>周总</t>
        </is>
      </c>
      <c r="H18" s="7" t="inlineStr">
        <is>
          <t>M3 数字化</t>
        </is>
      </c>
    </row>
    <row r="19">
      <c r="A19" s="7" t="inlineStr">
        <is>
          <t>M4</t>
        </is>
      </c>
      <c r="B19" s="7" t="inlineStr">
        <is>
          <t>风险控制</t>
        </is>
      </c>
      <c r="C19" s="8" t="n">
        <v>70</v>
      </c>
      <c r="D19" s="7">
        <f>IF(C19&lt;60,"D 红区",IF(C19&lt;70,"C 警示",IF(C19&lt;80,"B 良好","A 健康")))</f>
        <v/>
      </c>
      <c r="E19" s="7" t="inlineStr">
        <is>
          <t>应收 + 风控</t>
        </is>
      </c>
      <c r="F19" s="7" t="inlineStr">
        <is>
          <t>江苏 XX 钢贸 赵总</t>
        </is>
      </c>
      <c r="G19" s="7" t="inlineStr">
        <is>
          <t>赵总</t>
        </is>
      </c>
      <c r="H19" s="7" t="inlineStr">
        <is>
          <t>M4 风控</t>
        </is>
      </c>
    </row>
    <row r="20">
      <c r="A20" s="7" t="inlineStr">
        <is>
          <t>M5</t>
        </is>
      </c>
      <c r="B20" s="7" t="inlineStr">
        <is>
          <t>增长能力</t>
        </is>
      </c>
      <c r="C20" s="8" t="n">
        <v>72</v>
      </c>
      <c r="D20" s="7">
        <f>IF(C20&lt;60,"D 红区",IF(C20&lt;70,"C 警示",IF(C20&lt;80,"B 良好","A 健康")))</f>
        <v/>
      </c>
      <c r="E20" s="7" t="inlineStr">
        <is>
          <t>拓客 + 出口</t>
        </is>
      </c>
      <c r="F20" s="7" t="inlineStr">
        <is>
          <t>浙江 XX 钢贸 钱总</t>
        </is>
      </c>
      <c r="G20" s="7" t="inlineStr">
        <is>
          <t>钱总</t>
        </is>
      </c>
      <c r="H20" s="7" t="inlineStr">
        <is>
          <t>M5 增长</t>
        </is>
      </c>
    </row>
    <row r="21">
      <c r="A21" s="7" t="inlineStr">
        <is>
          <t>M6</t>
        </is>
      </c>
      <c r="B21" s="7" t="inlineStr">
        <is>
          <t>团队能力</t>
        </is>
      </c>
      <c r="C21" s="9" t="n">
        <v>85</v>
      </c>
      <c r="D21" s="7">
        <f>IF(C21&lt;60,"D 红区",IF(C21&lt;70,"C 警示",IF(C21&lt;80,"B 良好","A 健康")))</f>
        <v/>
      </c>
      <c r="E21" s="7" t="inlineStr">
        <is>
          <t>接班 + 团队</t>
        </is>
      </c>
      <c r="F21" s="7" t="inlineStr">
        <is>
          <t>江苏 XX 镀锌 周总</t>
        </is>
      </c>
      <c r="G21" s="7" t="inlineStr">
        <is>
          <t>周总</t>
        </is>
      </c>
      <c r="H21" s="7" t="inlineStr">
        <is>
          <t>M6 团队</t>
        </is>
      </c>
    </row>
    <row r="22">
      <c r="A22" s="7" t="inlineStr">
        <is>
          <t>M7</t>
        </is>
      </c>
      <c r="B22" s="7" t="inlineStr">
        <is>
          <t>战略前瞻</t>
        </is>
      </c>
      <c r="C22" s="8" t="n">
        <v>70</v>
      </c>
      <c r="D22" s="7">
        <f>IF(C22&lt;60,"D 红区",IF(C22&lt;70,"C 警示",IF(C22&lt;80,"B 良好","A 健康")))</f>
        <v/>
      </c>
      <c r="E22" s="7" t="inlineStr">
        <is>
          <t>服务化 + 转型</t>
        </is>
      </c>
      <c r="F22" s="7" t="inlineStr">
        <is>
          <t>上海 XX 钢贸 X 总</t>
        </is>
      </c>
      <c r="G22" s="7" t="inlineStr">
        <is>
          <t>X 总</t>
        </is>
      </c>
      <c r="H22" s="7" t="inlineStr">
        <is>
          <t>M7 战略</t>
        </is>
      </c>
    </row>
    <row r="24" ht="30" customHeight="1">
      <c r="A24" s="2" t="inlineStr">
        <is>
          <t>销售对号入座 SOP</t>
        </is>
      </c>
    </row>
    <row r="25" ht="22" customHeight="1">
      <c r="A25" s="10" t="inlineStr">
        <is>
          <t>1. 客户做完 30 题 → 7 模块自动出分</t>
        </is>
      </c>
    </row>
    <row r="26" ht="22" customHeight="1">
      <c r="A26" s="10" t="inlineStr">
        <is>
          <t>2. 红区模块（&lt;60 分）= 必讲故事 + 算 ROI</t>
        </is>
      </c>
    </row>
    <row r="27" ht="22" customHeight="1">
      <c r="A27" s="10" t="inlineStr">
        <is>
          <t>3. 警示模块（60-69）= 备选讲（如客户继续询问）</t>
        </is>
      </c>
    </row>
    <row r="28" ht="22" customHeight="1">
      <c r="A28" s="10" t="inlineStr">
        <is>
          <t>4. 健康模块（≥70）= 不主动讲（避免分散注意力）</t>
        </is>
      </c>
    </row>
    <row r="29" ht="22" customHeight="1">
      <c r="A29" s="10" t="inlineStr">
        <is>
          <t>5. 销售铁律：每个红区都打开对应 Tab → 录入客户数据 → 当场算 ROI → 打印/截图给客户</t>
        </is>
      </c>
    </row>
    <row r="30" ht="22" customHeight="1">
      <c r="A30" s="10" t="inlineStr">
        <is>
          <t>6. 最高 ROI = M4 风控（应收）→ 通常 &gt;10 倍 / 1-3 个月回本</t>
        </is>
      </c>
    </row>
    <row r="31" ht="22" customHeight="1">
      <c r="A31" s="10" t="inlineStr">
        <is>
          <t>7. 最大单 ROI = M6 接班 → 公司估值 +¥1 亿（适合年流水 ¥3 亿+ 客户）</t>
        </is>
      </c>
    </row>
  </sheetData>
  <mergeCells count="20">
    <mergeCell ref="A30:H30"/>
    <mergeCell ref="C6:D6"/>
    <mergeCell ref="A24:H24"/>
    <mergeCell ref="C5:D5"/>
    <mergeCell ref="A1:H1"/>
    <mergeCell ref="C10:D10"/>
    <mergeCell ref="A25:H25"/>
    <mergeCell ref="C9:D9"/>
    <mergeCell ref="A27:H27"/>
    <mergeCell ref="C12:D12"/>
    <mergeCell ref="A26:H26"/>
    <mergeCell ref="C11:D11"/>
    <mergeCell ref="A2:H2"/>
    <mergeCell ref="A14:H14"/>
    <mergeCell ref="C8:D8"/>
    <mergeCell ref="A4:H4"/>
    <mergeCell ref="C7:D7"/>
    <mergeCell ref="A29:H29"/>
    <mergeCell ref="A28:H28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M1 · 财务健康度场景（利润 + 现金流）</t>
        </is>
      </c>
    </row>
    <row r="2" ht="30" customHeight="1">
      <c r="A2" s="2" t="inlineStr">
        <is>
          <t>客户故事：山东 XX 钢管 王总（改造前评分 58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Q3 应收账款占比（&lt; 3 分）</t>
        </is>
      </c>
    </row>
    <row r="6">
      <c r="A6" s="10" t="inlineStr">
        <is>
          <t>Q5 净利率（&lt; 3 分）</t>
        </is>
      </c>
    </row>
    <row r="7">
      <c r="A7" s="10" t="inlineStr">
        <is>
          <t>Q6 现金流储备（&lt; 3 分）</t>
        </is>
      </c>
    </row>
    <row r="9" ht="30" customHeight="1">
      <c r="A9" s="3" t="inlineStr">
        <is>
          <t>2. 客户数据输入（请客户提供 / 默认为行业平均）</t>
        </is>
      </c>
    </row>
    <row r="10">
      <c r="A10" s="2" t="inlineStr">
        <is>
          <t>#</t>
        </is>
      </c>
      <c r="B10" s="2" t="inlineStr">
        <is>
          <t>字段</t>
        </is>
      </c>
      <c r="C10" s="2" t="inlineStr">
        <is>
          <t>单位</t>
        </is>
      </c>
      <c r="D10" s="2" t="inlineStr">
        <is>
          <t>默认值（行业平均）</t>
        </is>
      </c>
      <c r="E10" s="2" t="inlineStr">
        <is>
          <t>客户实际值（请填）</t>
        </is>
      </c>
      <c r="F10" s="2" t="inlineStr">
        <is>
          <t>备注</t>
        </is>
      </c>
    </row>
    <row r="11">
      <c r="A11" s="7" t="n">
        <v>1</v>
      </c>
      <c r="B11" s="11" t="inlineStr">
        <is>
          <t>年流水（万元）</t>
        </is>
      </c>
      <c r="C11" s="7" t="inlineStr">
        <is>
          <t>万元</t>
        </is>
      </c>
      <c r="D11" s="12" t="n">
        <v>18000</v>
      </c>
      <c r="E11" s="13" t="n">
        <v>18000</v>
      </c>
      <c r="F11" s="7" t="inlineStr">
        <is>
          <t>可调</t>
        </is>
      </c>
    </row>
    <row r="12">
      <c r="A12" s="7" t="n">
        <v>2</v>
      </c>
      <c r="B12" s="11" t="inlineStr">
        <is>
          <t>当前毛利率</t>
        </is>
      </c>
      <c r="C12" s="7" t="inlineStr">
        <is>
          <t>%</t>
        </is>
      </c>
      <c r="D12" s="12" t="n">
        <v>3.2</v>
      </c>
      <c r="E12" s="13" t="n">
        <v>3.2</v>
      </c>
      <c r="F12" s="7" t="inlineStr">
        <is>
          <t>可调</t>
        </is>
      </c>
    </row>
    <row r="13">
      <c r="A13" s="7" t="n">
        <v>3</v>
      </c>
      <c r="B13" s="11" t="inlineStr">
        <is>
          <t>当前净利率</t>
        </is>
      </c>
      <c r="C13" s="7" t="inlineStr">
        <is>
          <t>%</t>
        </is>
      </c>
      <c r="D13" s="12" t="n">
        <v>0.8</v>
      </c>
      <c r="E13" s="13" t="n">
        <v>0.8</v>
      </c>
      <c r="F13" s="7" t="inlineStr">
        <is>
          <t>可调</t>
        </is>
      </c>
    </row>
    <row r="14">
      <c r="A14" s="7" t="n">
        <v>4</v>
      </c>
      <c r="B14" s="11" t="inlineStr">
        <is>
          <t>90 天+ 应收占比</t>
        </is>
      </c>
      <c r="C14" s="7" t="inlineStr">
        <is>
          <t>%</t>
        </is>
      </c>
      <c r="D14" s="12" t="n">
        <v>38</v>
      </c>
      <c r="E14" s="13" t="n">
        <v>38</v>
      </c>
      <c r="F14" s="7" t="inlineStr">
        <is>
          <t>可调</t>
        </is>
      </c>
    </row>
    <row r="15">
      <c r="A15" s="7" t="n">
        <v>5</v>
      </c>
      <c r="B15" s="11" t="inlineStr">
        <is>
          <t>当前年利润</t>
        </is>
      </c>
      <c r="C15" s="7" t="inlineStr">
        <is>
          <t>万元</t>
        </is>
      </c>
      <c r="D15" s="12" t="n">
        <v>144</v>
      </c>
      <c r="E15" s="13" t="n">
        <v>144</v>
      </c>
      <c r="F15" s="7" t="inlineStr">
        <is>
          <t>可调</t>
        </is>
      </c>
    </row>
    <row r="16">
      <c r="A16" s="7" t="n">
        <v>6</v>
      </c>
      <c r="B16" s="11" t="inlineStr">
        <is>
          <t>改造后净利率（目标）</t>
        </is>
      </c>
      <c r="C16" s="7" t="inlineStr">
        <is>
          <t>%</t>
        </is>
      </c>
      <c r="D16" s="12" t="n">
        <v>2.1</v>
      </c>
      <c r="E16" s="13" t="n">
        <v>2.1</v>
      </c>
      <c r="F16" s="7" t="inlineStr">
        <is>
          <t>可调</t>
        </is>
      </c>
    </row>
    <row r="17">
      <c r="A17" s="7" t="n">
        <v>7</v>
      </c>
      <c r="B17" s="11" t="inlineStr">
        <is>
          <t>应收下降目标（百分点）</t>
        </is>
      </c>
      <c r="C17" s="7" t="inlineStr">
        <is>
          <t>百分点</t>
        </is>
      </c>
      <c r="D17" s="12" t="n">
        <v>20</v>
      </c>
      <c r="E17" s="13" t="n">
        <v>20</v>
      </c>
      <c r="F17" s="7" t="inlineStr">
        <is>
          <t>可调</t>
        </is>
      </c>
    </row>
    <row r="19" ht="30" customHeight="1">
      <c r="A19" s="3" t="inlineStr">
        <is>
          <t>3. 投入（默认值 / 可调）</t>
        </is>
      </c>
    </row>
    <row r="20">
      <c r="A20" s="2" t="inlineStr">
        <is>
          <t>#</t>
        </is>
      </c>
      <c r="B20" s="2" t="inlineStr">
        <is>
          <t>投入项</t>
        </is>
      </c>
      <c r="C20" s="2" t="inlineStr"/>
      <c r="D20" s="2" t="inlineStr">
        <is>
          <t>年费（万元）</t>
        </is>
      </c>
      <c r="E20" s="2" t="inlineStr">
        <is>
          <t>客户实际值</t>
        </is>
      </c>
      <c r="F20" s="2" t="inlineStr">
        <is>
          <t>备注</t>
        </is>
      </c>
    </row>
    <row r="21">
      <c r="A21" s="7" t="n">
        <v>1</v>
      </c>
      <c r="B21" s="11" t="inlineStr">
        <is>
          <t>ERP + AI 经营包</t>
        </is>
      </c>
      <c r="D21" s="12" t="n">
        <v>18</v>
      </c>
      <c r="E21" s="13" t="n">
        <v>18</v>
      </c>
      <c r="F21" s="7" t="inlineStr">
        <is>
          <t>可调</t>
        </is>
      </c>
    </row>
    <row r="22">
      <c r="A22" s="7" t="n">
        <v>2</v>
      </c>
      <c r="B22" s="11" t="inlineStr">
        <is>
          <t>AI 风控 + 对账通</t>
        </is>
      </c>
      <c r="D22" s="12" t="n">
        <v>12</v>
      </c>
      <c r="E22" s="13" t="n">
        <v>12</v>
      </c>
      <c r="F22" s="7" t="inlineStr">
        <is>
          <t>可调</t>
        </is>
      </c>
    </row>
    <row r="23">
      <c r="A23" s="7" t="n">
        <v>3</v>
      </c>
      <c r="B23" s="11" t="inlineStr">
        <is>
          <t>战略咨询</t>
        </is>
      </c>
      <c r="D23" s="12" t="n">
        <v>5</v>
      </c>
      <c r="E23" s="13" t="n">
        <v>5</v>
      </c>
      <c r="F23" s="7" t="inlineStr">
        <is>
          <t>可调</t>
        </is>
      </c>
    </row>
    <row r="24">
      <c r="B24" s="14" t="inlineStr">
        <is>
          <t>合计年投入（万元）</t>
        </is>
      </c>
      <c r="D24" s="15">
        <f>SUM(D21:D23)</f>
        <v/>
      </c>
      <c r="E24" s="14">
        <f>SUM(E21:E23)</f>
        <v/>
      </c>
      <c r="F24" s="7" t="inlineStr">
        <is>
          <t>自动</t>
        </is>
      </c>
    </row>
    <row r="26" ht="30" customHeight="1">
      <c r="A26" s="3" t="inlineStr">
        <is>
          <t>4. 收益自动计算（基于客户实际值）</t>
        </is>
      </c>
    </row>
    <row r="27">
      <c r="A27" s="2" t="inlineStr">
        <is>
          <t>#</t>
        </is>
      </c>
      <c r="B27" s="2" t="inlineStr">
        <is>
          <t>收益项</t>
        </is>
      </c>
      <c r="C27" s="2" t="inlineStr"/>
      <c r="D27" s="2" t="inlineStr">
        <is>
          <t>公式说明</t>
        </is>
      </c>
      <c r="E27" s="2" t="inlineStr">
        <is>
          <t>金额（万元）</t>
        </is>
      </c>
      <c r="F27" s="2" t="inlineStr">
        <is>
          <t>类型</t>
        </is>
      </c>
    </row>
    <row r="28">
      <c r="A28" s="7" t="n">
        <v>1</v>
      </c>
      <c r="B28" s="11" t="inlineStr">
        <is>
          <t>年增加利润（净利率提升）</t>
        </is>
      </c>
      <c r="D28" s="7" t="inlineStr">
        <is>
          <t>见公式</t>
        </is>
      </c>
      <c r="E28" s="16">
        <f>E7*(E12-E9)/100</f>
        <v/>
      </c>
      <c r="F28" s="7" t="inlineStr">
        <is>
          <t>自动</t>
        </is>
      </c>
    </row>
    <row r="29">
      <c r="A29" s="7" t="n">
        <v>2</v>
      </c>
      <c r="B29" s="11" t="inlineStr">
        <is>
          <t>释放现金流（应收下降）</t>
        </is>
      </c>
      <c r="D29" s="7" t="inlineStr">
        <is>
          <t>见公式</t>
        </is>
      </c>
      <c r="E29" s="16">
        <f>E7*E13/100</f>
        <v/>
      </c>
      <c r="F29" s="7" t="inlineStr">
        <is>
          <t>自动</t>
        </is>
      </c>
    </row>
    <row r="30">
      <c r="A30" s="7" t="n">
        <v>3</v>
      </c>
      <c r="B30" s="11" t="inlineStr">
        <is>
          <t>3 年累计追加利润</t>
        </is>
      </c>
      <c r="D30" s="7" t="inlineStr">
        <is>
          <t>见公式</t>
        </is>
      </c>
      <c r="E30" s="16">
        <f>E7*(E12-E9)/100*3</f>
        <v/>
      </c>
      <c r="F30" s="7" t="inlineStr">
        <is>
          <t>自动</t>
        </is>
      </c>
    </row>
    <row r="31">
      <c r="B31" s="17" t="inlineStr">
        <is>
          <t>合计年收益（万元）</t>
        </is>
      </c>
      <c r="D31" s="7" t="inlineStr">
        <is>
          <t>加总</t>
        </is>
      </c>
      <c r="E31" s="17">
        <f>SUM(E28:E30)</f>
        <v/>
      </c>
    </row>
    <row r="33" ht="30" customHeight="1">
      <c r="A33" s="3" t="inlineStr">
        <is>
          <t>5. ROI 输出</t>
        </is>
      </c>
    </row>
    <row r="34">
      <c r="B34" s="18" t="inlineStr">
        <is>
          <t>年投入（万元）</t>
        </is>
      </c>
      <c r="E34" s="13">
        <f>E24</f>
        <v/>
      </c>
      <c r="F34" s="7" t="inlineStr">
        <is>
          <t>自动</t>
        </is>
      </c>
    </row>
    <row r="35">
      <c r="B35" s="18" t="inlineStr">
        <is>
          <t>年收益（万元）</t>
        </is>
      </c>
      <c r="E35" s="13">
        <f>E31</f>
        <v/>
      </c>
      <c r="F35" s="7" t="inlineStr">
        <is>
          <t>自动</t>
        </is>
      </c>
    </row>
    <row r="36">
      <c r="B36" s="18" t="inlineStr">
        <is>
          <t>年净收益（万元）</t>
        </is>
      </c>
      <c r="E36" s="13">
        <f>E31-E24</f>
        <v/>
      </c>
      <c r="F36" s="7" t="inlineStr">
        <is>
          <t>自动</t>
        </is>
      </c>
    </row>
    <row r="37">
      <c r="B37" s="18" t="inlineStr">
        <is>
          <t>3 年累计净收益（万元）</t>
        </is>
      </c>
      <c r="E37" s="13">
        <f>(E31-E24)*3</f>
        <v/>
      </c>
      <c r="F37" s="7" t="inlineStr">
        <is>
          <t>自动</t>
        </is>
      </c>
    </row>
    <row r="38">
      <c r="B38" s="18" t="inlineStr">
        <is>
          <t>ROI（倍数）</t>
        </is>
      </c>
      <c r="E38" s="13">
        <f>IFERROR(E31/E24,0)</f>
        <v/>
      </c>
      <c r="F38" s="7" t="inlineStr">
        <is>
          <t>自动</t>
        </is>
      </c>
    </row>
    <row r="39">
      <c r="B39" s="18" t="inlineStr">
        <is>
          <t>回本周期（月）</t>
        </is>
      </c>
      <c r="E39" s="13">
        <f>IFERROR(E24/E31*12,0)</f>
        <v/>
      </c>
      <c r="F39" s="7" t="inlineStr">
        <is>
          <t>自动</t>
        </is>
      </c>
    </row>
    <row r="41" ht="30" customHeight="1">
      <c r="A41" s="2" t="inlineStr">
        <is>
          <t>6. 公式说明</t>
        </is>
      </c>
    </row>
    <row r="42" ht="20" customHeight="1">
      <c r="A42" s="10" t="inlineStr">
        <is>
          <t>年增加利润 = 年流水 × (目标净利率 - 当前净利率) / 100</t>
        </is>
      </c>
    </row>
    <row r="43" ht="20" customHeight="1">
      <c r="A43" s="10" t="inlineStr">
        <is>
          <t>释放现金流 = 年流水 × 应收下降百分点 / 100（仅 1 次性，但用于年收益估算）</t>
        </is>
      </c>
    </row>
    <row r="44" ht="20" customHeight="1">
      <c r="A44" s="10" t="inlineStr">
        <is>
          <t>案例：王总 ¥1.8 亿 / 净利 0.8%→2.1% / 应收 38%→18% → 年增 ¥234 万利润 + 释放 ¥3,600 万</t>
        </is>
      </c>
    </row>
  </sheetData>
  <mergeCells count="28">
    <mergeCell ref="A41:F41"/>
    <mergeCell ref="B22:C22"/>
    <mergeCell ref="B31:C31"/>
    <mergeCell ref="A26:F26"/>
    <mergeCell ref="B38:D38"/>
    <mergeCell ref="B34:D34"/>
    <mergeCell ref="A2:F2"/>
    <mergeCell ref="A33:F33"/>
    <mergeCell ref="B21:C21"/>
    <mergeCell ref="B37:D37"/>
    <mergeCell ref="A42:F42"/>
    <mergeCell ref="A5:F5"/>
    <mergeCell ref="B23:C23"/>
    <mergeCell ref="A4:F4"/>
    <mergeCell ref="A43:F43"/>
    <mergeCell ref="B36:D36"/>
    <mergeCell ref="B29:C29"/>
    <mergeCell ref="A19:F19"/>
    <mergeCell ref="A44:F44"/>
    <mergeCell ref="B35:D35"/>
    <mergeCell ref="A9:F9"/>
    <mergeCell ref="B28:C28"/>
    <mergeCell ref="B24:C24"/>
    <mergeCell ref="B30:C30"/>
    <mergeCell ref="A1:F1"/>
    <mergeCell ref="A6:F6"/>
    <mergeCell ref="B39:D39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M2 · 客户管理场景（客户结构 + 销售跑单）</t>
        </is>
      </c>
    </row>
    <row r="2" ht="30" customHeight="1">
      <c r="A2" s="2" t="inlineStr">
        <is>
          <t>客户故事：广东 XX 钢贸 陈总（改造前评分 52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Q9 销售跑单（&lt; 3 分）</t>
        </is>
      </c>
    </row>
    <row r="6">
      <c r="A6" s="10" t="inlineStr">
        <is>
          <t>Q11 客户结构 / 房地产依赖（&lt; 3 分）</t>
        </is>
      </c>
    </row>
    <row r="7">
      <c r="A7" s="10" t="inlineStr">
        <is>
          <t>Q12 TOP 5 客户依赖（&lt; 3 分）</t>
        </is>
      </c>
    </row>
    <row r="9" ht="30" customHeight="1">
      <c r="A9" s="3" t="inlineStr">
        <is>
          <t>2. 客户数据输入（请客户提供 / 默认为行业平均）</t>
        </is>
      </c>
    </row>
    <row r="10">
      <c r="A10" s="2" t="inlineStr">
        <is>
          <t>#</t>
        </is>
      </c>
      <c r="B10" s="2" t="inlineStr">
        <is>
          <t>字段</t>
        </is>
      </c>
      <c r="C10" s="2" t="inlineStr">
        <is>
          <t>单位</t>
        </is>
      </c>
      <c r="D10" s="2" t="inlineStr">
        <is>
          <t>默认值（行业平均）</t>
        </is>
      </c>
      <c r="E10" s="2" t="inlineStr">
        <is>
          <t>客户实际值（请填）</t>
        </is>
      </c>
      <c r="F10" s="2" t="inlineStr">
        <is>
          <t>备注</t>
        </is>
      </c>
    </row>
    <row r="11">
      <c r="A11" s="7" t="n">
        <v>1</v>
      </c>
      <c r="B11" s="11" t="inlineStr">
        <is>
          <t>年流水（万元）</t>
        </is>
      </c>
      <c r="C11" s="7" t="inlineStr">
        <is>
          <t>万元</t>
        </is>
      </c>
      <c r="D11" s="12" t="n">
        <v>30000</v>
      </c>
      <c r="E11" s="13" t="n">
        <v>30000</v>
      </c>
      <c r="F11" s="7" t="inlineStr">
        <is>
          <t>可调</t>
        </is>
      </c>
    </row>
    <row r="12">
      <c r="A12" s="7" t="n">
        <v>2</v>
      </c>
      <c r="B12" s="11" t="inlineStr">
        <is>
          <t>当前客户流失率</t>
        </is>
      </c>
      <c r="C12" s="7" t="inlineStr">
        <is>
          <t>%</t>
        </is>
      </c>
      <c r="D12" s="12" t="n">
        <v>14</v>
      </c>
      <c r="E12" s="13" t="n">
        <v>14</v>
      </c>
      <c r="F12" s="7" t="inlineStr">
        <is>
          <t>可调</t>
        </is>
      </c>
    </row>
    <row r="13">
      <c r="A13" s="7" t="n">
        <v>3</v>
      </c>
      <c r="B13" s="11" t="inlineStr">
        <is>
          <t>目标客户流失率</t>
        </is>
      </c>
      <c r="C13" s="7" t="inlineStr">
        <is>
          <t>%</t>
        </is>
      </c>
      <c r="D13" s="12" t="n">
        <v>8</v>
      </c>
      <c r="E13" s="13" t="n">
        <v>8</v>
      </c>
      <c r="F13" s="7" t="inlineStr">
        <is>
          <t>可调</t>
        </is>
      </c>
    </row>
    <row r="14">
      <c r="A14" s="7" t="n">
        <v>4</v>
      </c>
      <c r="B14" s="11" t="inlineStr">
        <is>
          <t>销售带走客户比例（前）</t>
        </is>
      </c>
      <c r="C14" s="7" t="inlineStr">
        <is>
          <t>%</t>
        </is>
      </c>
      <c r="D14" s="12" t="n">
        <v>60</v>
      </c>
      <c r="E14" s="13" t="n">
        <v>60</v>
      </c>
      <c r="F14" s="7" t="inlineStr">
        <is>
          <t>可调</t>
        </is>
      </c>
    </row>
    <row r="15">
      <c r="A15" s="7" t="n">
        <v>5</v>
      </c>
      <c r="B15" s="11" t="inlineStr">
        <is>
          <t>销售带走客户比例（后）</t>
        </is>
      </c>
      <c r="C15" s="7" t="inlineStr">
        <is>
          <t>%</t>
        </is>
      </c>
      <c r="D15" s="12" t="n">
        <v>15</v>
      </c>
      <c r="E15" s="13" t="n">
        <v>15</v>
      </c>
      <c r="F15" s="7" t="inlineStr">
        <is>
          <t>可调</t>
        </is>
      </c>
    </row>
    <row r="16">
      <c r="A16" s="7" t="n">
        <v>6</v>
      </c>
      <c r="B16" s="11" t="inlineStr">
        <is>
          <t>单客户平均年利润</t>
        </is>
      </c>
      <c r="C16" s="7" t="inlineStr">
        <is>
          <t>万元</t>
        </is>
      </c>
      <c r="D16" s="12" t="n">
        <v>12</v>
      </c>
      <c r="E16" s="13" t="n">
        <v>12</v>
      </c>
      <c r="F16" s="7" t="inlineStr">
        <is>
          <t>可调</t>
        </is>
      </c>
    </row>
    <row r="17">
      <c r="A17" s="7" t="n">
        <v>7</v>
      </c>
      <c r="B17" s="11" t="inlineStr">
        <is>
          <t>月新增客户数（改造后）</t>
        </is>
      </c>
      <c r="C17" s="7" t="inlineStr">
        <is>
          <t>个</t>
        </is>
      </c>
      <c r="D17" s="12" t="n">
        <v>6</v>
      </c>
      <c r="E17" s="13" t="n">
        <v>6</v>
      </c>
      <c r="F17" s="7" t="inlineStr">
        <is>
          <t>可调</t>
        </is>
      </c>
    </row>
    <row r="18">
      <c r="A18" s="7" t="n">
        <v>8</v>
      </c>
      <c r="B18" s="11" t="inlineStr">
        <is>
          <t>新客户成交率</t>
        </is>
      </c>
      <c r="C18" s="7" t="inlineStr">
        <is>
          <t>%</t>
        </is>
      </c>
      <c r="D18" s="12" t="n">
        <v>30</v>
      </c>
      <c r="E18" s="13" t="n">
        <v>30</v>
      </c>
      <c r="F18" s="7" t="inlineStr">
        <is>
          <t>可调</t>
        </is>
      </c>
    </row>
    <row r="19">
      <c r="A19" s="7" t="n">
        <v>9</v>
      </c>
      <c r="B19" s="11" t="inlineStr">
        <is>
          <t>平均毛利率</t>
        </is>
      </c>
      <c r="C19" s="7" t="inlineStr">
        <is>
          <t>%</t>
        </is>
      </c>
      <c r="D19" s="12" t="n">
        <v>3</v>
      </c>
      <c r="E19" s="13" t="n">
        <v>3</v>
      </c>
      <c r="F19" s="7" t="inlineStr">
        <is>
          <t>可调</t>
        </is>
      </c>
    </row>
    <row r="21" ht="30" customHeight="1">
      <c r="A21" s="3" t="inlineStr">
        <is>
          <t>3. 投入（默认值 / 可调）</t>
        </is>
      </c>
    </row>
    <row r="22">
      <c r="A22" s="2" t="inlineStr">
        <is>
          <t>#</t>
        </is>
      </c>
      <c r="B22" s="2" t="inlineStr">
        <is>
          <t>投入项</t>
        </is>
      </c>
      <c r="C22" s="2" t="inlineStr"/>
      <c r="D22" s="2" t="inlineStr">
        <is>
          <t>年费（万元）</t>
        </is>
      </c>
      <c r="E22" s="2" t="inlineStr">
        <is>
          <t>客户实际值</t>
        </is>
      </c>
      <c r="F22" s="2" t="inlineStr">
        <is>
          <t>备注</t>
        </is>
      </c>
    </row>
    <row r="23">
      <c r="A23" s="7" t="n">
        <v>1</v>
      </c>
      <c r="B23" s="11" t="inlineStr">
        <is>
          <t>CRM + AI 客户管理</t>
        </is>
      </c>
      <c r="D23" s="12" t="n">
        <v>15</v>
      </c>
      <c r="E23" s="13" t="n">
        <v>15</v>
      </c>
      <c r="F23" s="7" t="inlineStr">
        <is>
          <t>可调</t>
        </is>
      </c>
    </row>
    <row r="24">
      <c r="A24" s="7" t="n">
        <v>2</v>
      </c>
      <c r="B24" s="11" t="inlineStr">
        <is>
          <t>AI 销售助理</t>
        </is>
      </c>
      <c r="D24" s="12" t="n">
        <v>12</v>
      </c>
      <c r="E24" s="13" t="n">
        <v>12</v>
      </c>
      <c r="F24" s="7" t="inlineStr">
        <is>
          <t>可调</t>
        </is>
      </c>
    </row>
    <row r="25">
      <c r="A25" s="7" t="n">
        <v>3</v>
      </c>
      <c r="B25" s="11" t="inlineStr">
        <is>
          <t>现货平台</t>
        </is>
      </c>
      <c r="D25" s="12" t="n">
        <v>6</v>
      </c>
      <c r="E25" s="13" t="n">
        <v>6</v>
      </c>
      <c r="F25" s="7" t="inlineStr">
        <is>
          <t>可调</t>
        </is>
      </c>
    </row>
    <row r="26">
      <c r="A26" s="7" t="n">
        <v>4</v>
      </c>
      <c r="B26" s="11" t="inlineStr">
        <is>
          <t>战略咨询</t>
        </is>
      </c>
      <c r="D26" s="12" t="n">
        <v>5</v>
      </c>
      <c r="E26" s="13" t="n">
        <v>5</v>
      </c>
      <c r="F26" s="7" t="inlineStr">
        <is>
          <t>可调</t>
        </is>
      </c>
    </row>
    <row r="27">
      <c r="B27" s="14" t="inlineStr">
        <is>
          <t>合计年投入（万元）</t>
        </is>
      </c>
      <c r="D27" s="15">
        <f>SUM(D23:D26)</f>
        <v/>
      </c>
      <c r="E27" s="14">
        <f>SUM(E23:E26)</f>
        <v/>
      </c>
      <c r="F27" s="7" t="inlineStr">
        <is>
          <t>自动</t>
        </is>
      </c>
    </row>
    <row r="29" ht="30" customHeight="1">
      <c r="A29" s="3" t="inlineStr">
        <is>
          <t>4. 收益自动计算（基于客户实际值）</t>
        </is>
      </c>
    </row>
    <row r="30">
      <c r="A30" s="2" t="inlineStr">
        <is>
          <t>#</t>
        </is>
      </c>
      <c r="B30" s="2" t="inlineStr">
        <is>
          <t>收益项</t>
        </is>
      </c>
      <c r="C30" s="2" t="inlineStr"/>
      <c r="D30" s="2" t="inlineStr">
        <is>
          <t>公式说明</t>
        </is>
      </c>
      <c r="E30" s="2" t="inlineStr">
        <is>
          <t>金额（万元）</t>
        </is>
      </c>
      <c r="F30" s="2" t="inlineStr">
        <is>
          <t>类型</t>
        </is>
      </c>
    </row>
    <row r="31">
      <c r="A31" s="7" t="n">
        <v>1</v>
      </c>
      <c r="B31" s="11" t="inlineStr">
        <is>
          <t>减少客户流失收益</t>
        </is>
      </c>
      <c r="D31" s="7" t="inlineStr">
        <is>
          <t>见公式</t>
        </is>
      </c>
      <c r="E31" s="16">
        <f>E7*(E8-E9)/100*E15/100</f>
        <v/>
      </c>
      <c r="F31" s="7" t="inlineStr">
        <is>
          <t>自动</t>
        </is>
      </c>
    </row>
    <row r="32">
      <c r="A32" s="7" t="n">
        <v>2</v>
      </c>
      <c r="B32" s="11" t="inlineStr">
        <is>
          <t>销售跑单避免</t>
        </is>
      </c>
      <c r="D32" s="7" t="inlineStr">
        <is>
          <t>见公式</t>
        </is>
      </c>
      <c r="E32" s="16">
        <f>(E10-E11)/100*5*E12</f>
        <v/>
      </c>
      <c r="F32" s="7" t="inlineStr">
        <is>
          <t>自动</t>
        </is>
      </c>
    </row>
    <row r="33">
      <c r="A33" s="7" t="n">
        <v>3</v>
      </c>
      <c r="B33" s="11" t="inlineStr">
        <is>
          <t>新客户增量利润</t>
        </is>
      </c>
      <c r="D33" s="7" t="inlineStr">
        <is>
          <t>见公式</t>
        </is>
      </c>
      <c r="E33" s="16">
        <f>E13*E14/100*12*E12</f>
        <v/>
      </c>
      <c r="F33" s="7" t="inlineStr">
        <is>
          <t>自动</t>
        </is>
      </c>
    </row>
    <row r="34">
      <c r="B34" s="17" t="inlineStr">
        <is>
          <t>合计年收益（万元）</t>
        </is>
      </c>
      <c r="D34" s="7" t="inlineStr">
        <is>
          <t>加总</t>
        </is>
      </c>
      <c r="E34" s="17">
        <f>SUM(E31:E33)</f>
        <v/>
      </c>
    </row>
    <row r="36" ht="30" customHeight="1">
      <c r="A36" s="3" t="inlineStr">
        <is>
          <t>5. ROI 输出</t>
        </is>
      </c>
    </row>
    <row r="37">
      <c r="B37" s="18" t="inlineStr">
        <is>
          <t>年投入（万元）</t>
        </is>
      </c>
      <c r="E37" s="13">
        <f>E27</f>
        <v/>
      </c>
      <c r="F37" s="7" t="inlineStr">
        <is>
          <t>自动</t>
        </is>
      </c>
    </row>
    <row r="38">
      <c r="B38" s="18" t="inlineStr">
        <is>
          <t>年收益（万元）</t>
        </is>
      </c>
      <c r="E38" s="13">
        <f>E34</f>
        <v/>
      </c>
      <c r="F38" s="7" t="inlineStr">
        <is>
          <t>自动</t>
        </is>
      </c>
    </row>
    <row r="39">
      <c r="B39" s="18" t="inlineStr">
        <is>
          <t>年净收益（万元）</t>
        </is>
      </c>
      <c r="E39" s="13">
        <f>E34-E27</f>
        <v/>
      </c>
      <c r="F39" s="7" t="inlineStr">
        <is>
          <t>自动</t>
        </is>
      </c>
    </row>
    <row r="40">
      <c r="B40" s="18" t="inlineStr">
        <is>
          <t>3 年累计净收益（万元）</t>
        </is>
      </c>
      <c r="E40" s="13">
        <f>(E34-E27)*3</f>
        <v/>
      </c>
      <c r="F40" s="7" t="inlineStr">
        <is>
          <t>自动</t>
        </is>
      </c>
    </row>
    <row r="41">
      <c r="B41" s="18" t="inlineStr">
        <is>
          <t>ROI（倍数）</t>
        </is>
      </c>
      <c r="E41" s="13">
        <f>IFERROR(E34/E27,0)</f>
        <v/>
      </c>
      <c r="F41" s="7" t="inlineStr">
        <is>
          <t>自动</t>
        </is>
      </c>
    </row>
    <row r="42">
      <c r="B42" s="18" t="inlineStr">
        <is>
          <t>回本周期（月）</t>
        </is>
      </c>
      <c r="E42" s="13">
        <f>IFERROR(E27/E34*12,0)</f>
        <v/>
      </c>
      <c r="F42" s="7" t="inlineStr">
        <is>
          <t>自动</t>
        </is>
      </c>
    </row>
    <row r="44" ht="30" customHeight="1">
      <c r="A44" s="2" t="inlineStr">
        <is>
          <t>6. 公式说明</t>
        </is>
      </c>
    </row>
    <row r="45" ht="20" customHeight="1">
      <c r="A45" s="10" t="inlineStr">
        <is>
          <t>减少流失收益 = 年流水 × (旧流失率 - 新流失率) / 100 × 平均毛利率</t>
        </is>
      </c>
    </row>
    <row r="46" ht="20" customHeight="1">
      <c r="A46" s="10" t="inlineStr">
        <is>
          <t>销售跑单避免 = 销售离职带走客户差额 × 5 个销售 × 客均年利润</t>
        </is>
      </c>
    </row>
    <row r="47" ht="20" customHeight="1">
      <c r="A47" s="10" t="inlineStr">
        <is>
          <t>新客户增量 = 月新增 × 成交率 × 12 月 × 客均年利润</t>
        </is>
      </c>
    </row>
    <row r="48" ht="20" customHeight="1">
      <c r="A48" s="10" t="inlineStr">
        <is>
          <t>案例：广东陈总 客户留存 70→92% / 营收 +30%</t>
        </is>
      </c>
    </row>
  </sheetData>
  <mergeCells count="30">
    <mergeCell ref="B42:D42"/>
    <mergeCell ref="A46:F46"/>
    <mergeCell ref="B25:C25"/>
    <mergeCell ref="B31:C31"/>
    <mergeCell ref="B27:C27"/>
    <mergeCell ref="A21:F21"/>
    <mergeCell ref="B38:D38"/>
    <mergeCell ref="A2:F2"/>
    <mergeCell ref="A47:F47"/>
    <mergeCell ref="B37:D37"/>
    <mergeCell ref="A5:F5"/>
    <mergeCell ref="B23:C23"/>
    <mergeCell ref="B40:D40"/>
    <mergeCell ref="A4:F4"/>
    <mergeCell ref="A29:F29"/>
    <mergeCell ref="B41:D41"/>
    <mergeCell ref="A44:F44"/>
    <mergeCell ref="B34:C34"/>
    <mergeCell ref="A9:F9"/>
    <mergeCell ref="A48:F48"/>
    <mergeCell ref="B24:C24"/>
    <mergeCell ref="B33:C33"/>
    <mergeCell ref="A36:F36"/>
    <mergeCell ref="A1:F1"/>
    <mergeCell ref="A45:F45"/>
    <mergeCell ref="A6:F6"/>
    <mergeCell ref="B32:C32"/>
    <mergeCell ref="B26:C26"/>
    <mergeCell ref="B39:D39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M3 · 数字化能力场景（系统升级 + 出口审厂）</t>
        </is>
      </c>
    </row>
    <row r="2" ht="30" customHeight="1">
      <c r="A2" s="2" t="inlineStr">
        <is>
          <t>客户故事：江苏 XX 焊管 周总（改造前评分 38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Q15 ERP / WMS 使用（&lt; 3 分）</t>
        </is>
      </c>
    </row>
    <row r="6">
      <c r="A6" s="10" t="inlineStr">
        <is>
          <t>Q16 数据日报（&lt; 3 分）</t>
        </is>
      </c>
    </row>
    <row r="7">
      <c r="A7" s="10" t="inlineStr">
        <is>
          <t>Q17 数字化主线人员（&lt; 3 分）</t>
        </is>
      </c>
    </row>
    <row r="9" ht="30" customHeight="1">
      <c r="A9" s="3" t="inlineStr">
        <is>
          <t>2. 客户数据输入（请客户提供 / 默认为行业平均）</t>
        </is>
      </c>
    </row>
    <row r="10">
      <c r="A10" s="2" t="inlineStr">
        <is>
          <t>#</t>
        </is>
      </c>
      <c r="B10" s="2" t="inlineStr">
        <is>
          <t>字段</t>
        </is>
      </c>
      <c r="C10" s="2" t="inlineStr">
        <is>
          <t>单位</t>
        </is>
      </c>
      <c r="D10" s="2" t="inlineStr">
        <is>
          <t>默认值（行业平均）</t>
        </is>
      </c>
      <c r="E10" s="2" t="inlineStr">
        <is>
          <t>客户实际值（请填）</t>
        </is>
      </c>
      <c r="F10" s="2" t="inlineStr">
        <is>
          <t>备注</t>
        </is>
      </c>
    </row>
    <row r="11">
      <c r="A11" s="7" t="n">
        <v>1</v>
      </c>
      <c r="B11" s="11" t="inlineStr">
        <is>
          <t>年流水（万元）</t>
        </is>
      </c>
      <c r="C11" s="7" t="inlineStr">
        <is>
          <t>万元</t>
        </is>
      </c>
      <c r="D11" s="12" t="n">
        <v>12000</v>
      </c>
      <c r="E11" s="13" t="n">
        <v>12000</v>
      </c>
      <c r="F11" s="7" t="inlineStr">
        <is>
          <t>可调</t>
        </is>
      </c>
    </row>
    <row r="12">
      <c r="A12" s="7" t="n">
        <v>2</v>
      </c>
      <c r="B12" s="11" t="inlineStr">
        <is>
          <t>出口潜力订单（万元/年）</t>
        </is>
      </c>
      <c r="C12" s="7" t="inlineStr">
        <is>
          <t>万元</t>
        </is>
      </c>
      <c r="D12" s="12" t="n">
        <v>1500</v>
      </c>
      <c r="E12" s="13" t="n">
        <v>1500</v>
      </c>
      <c r="F12" s="7" t="inlineStr">
        <is>
          <t>可调</t>
        </is>
      </c>
    </row>
    <row r="13">
      <c r="A13" s="7" t="n">
        <v>3</v>
      </c>
      <c r="B13" s="11" t="inlineStr">
        <is>
          <t>出口订单毛利率</t>
        </is>
      </c>
      <c r="C13" s="7" t="inlineStr">
        <is>
          <t>%</t>
        </is>
      </c>
      <c r="D13" s="12" t="n">
        <v>8</v>
      </c>
      <c r="E13" s="13" t="n">
        <v>8</v>
      </c>
      <c r="F13" s="7" t="inlineStr">
        <is>
          <t>可调</t>
        </is>
      </c>
    </row>
    <row r="14">
      <c r="A14" s="7" t="n">
        <v>4</v>
      </c>
      <c r="B14" s="11" t="inlineStr">
        <is>
          <t>当前账实差</t>
        </is>
      </c>
      <c r="C14" s="7" t="inlineStr">
        <is>
          <t>%</t>
        </is>
      </c>
      <c r="D14" s="12" t="n">
        <v>12</v>
      </c>
      <c r="E14" s="13" t="n">
        <v>12</v>
      </c>
      <c r="F14" s="7" t="inlineStr">
        <is>
          <t>可调</t>
        </is>
      </c>
    </row>
    <row r="15">
      <c r="A15" s="7" t="n">
        <v>5</v>
      </c>
      <c r="B15" s="11" t="inlineStr">
        <is>
          <t>目标账实差</t>
        </is>
      </c>
      <c r="C15" s="7" t="inlineStr">
        <is>
          <t>%</t>
        </is>
      </c>
      <c r="D15" s="12" t="n">
        <v>1</v>
      </c>
      <c r="E15" s="13" t="n">
        <v>1</v>
      </c>
      <c r="F15" s="7" t="inlineStr">
        <is>
          <t>可调</t>
        </is>
      </c>
    </row>
    <row r="16">
      <c r="A16" s="7" t="n">
        <v>6</v>
      </c>
      <c r="B16" s="11" t="inlineStr">
        <is>
          <t>月报出报现状（天）</t>
        </is>
      </c>
      <c r="C16" s="7" t="inlineStr">
        <is>
          <t>天</t>
        </is>
      </c>
      <c r="D16" s="12" t="n">
        <v>18</v>
      </c>
      <c r="E16" s="13" t="n">
        <v>18</v>
      </c>
      <c r="F16" s="7" t="inlineStr">
        <is>
          <t>可调</t>
        </is>
      </c>
    </row>
    <row r="17">
      <c r="A17" s="7" t="n">
        <v>7</v>
      </c>
      <c r="B17" s="11" t="inlineStr">
        <is>
          <t>月报目标（天）</t>
        </is>
      </c>
      <c r="C17" s="7" t="inlineStr">
        <is>
          <t>天</t>
        </is>
      </c>
      <c r="D17" s="12" t="n">
        <v>4</v>
      </c>
      <c r="E17" s="13" t="n">
        <v>4</v>
      </c>
      <c r="F17" s="7" t="inlineStr">
        <is>
          <t>可调</t>
        </is>
      </c>
    </row>
    <row r="18">
      <c r="A18" s="7" t="n">
        <v>8</v>
      </c>
      <c r="B18" s="11" t="inlineStr">
        <is>
          <t>财务人天成本（元）</t>
        </is>
      </c>
      <c r="C18" s="7" t="inlineStr">
        <is>
          <t>元</t>
        </is>
      </c>
      <c r="D18" s="12" t="n">
        <v>800</v>
      </c>
      <c r="E18" s="13" t="n">
        <v>800</v>
      </c>
      <c r="F18" s="7" t="inlineStr">
        <is>
          <t>可调</t>
        </is>
      </c>
    </row>
    <row r="20" ht="30" customHeight="1">
      <c r="A20" s="3" t="inlineStr">
        <is>
          <t>3. 投入（默认值 / 可调）</t>
        </is>
      </c>
    </row>
    <row r="21">
      <c r="A21" s="2" t="inlineStr">
        <is>
          <t>#</t>
        </is>
      </c>
      <c r="B21" s="2" t="inlineStr">
        <is>
          <t>投入项</t>
        </is>
      </c>
      <c r="C21" s="2" t="inlineStr"/>
      <c r="D21" s="2" t="inlineStr">
        <is>
          <t>年费（万元）</t>
        </is>
      </c>
      <c r="E21" s="2" t="inlineStr">
        <is>
          <t>客户实际值</t>
        </is>
      </c>
      <c r="F21" s="2" t="inlineStr">
        <is>
          <t>备注</t>
        </is>
      </c>
    </row>
    <row r="22">
      <c r="A22" s="7" t="n">
        <v>1</v>
      </c>
      <c r="B22" s="11" t="inlineStr">
        <is>
          <t>钢贸 ERP</t>
        </is>
      </c>
      <c r="D22" s="12" t="n">
        <v>18</v>
      </c>
      <c r="E22" s="13" t="n">
        <v>18</v>
      </c>
      <c r="F22" s="7" t="inlineStr">
        <is>
          <t>可调</t>
        </is>
      </c>
    </row>
    <row r="23">
      <c r="A23" s="7" t="n">
        <v>2</v>
      </c>
      <c r="B23" s="11" t="inlineStr">
        <is>
          <t>WMS + 质量追溯</t>
        </is>
      </c>
      <c r="D23" s="12" t="n">
        <v>12</v>
      </c>
      <c r="E23" s="13" t="n">
        <v>12</v>
      </c>
      <c r="F23" s="7" t="inlineStr">
        <is>
          <t>可调</t>
        </is>
      </c>
    </row>
    <row r="24">
      <c r="A24" s="7" t="n">
        <v>3</v>
      </c>
      <c r="B24" s="11" t="inlineStr">
        <is>
          <t>数字化咨询 + 出口审厂</t>
        </is>
      </c>
      <c r="D24" s="12" t="n">
        <v>8</v>
      </c>
      <c r="E24" s="13" t="n">
        <v>8</v>
      </c>
      <c r="F24" s="7" t="inlineStr">
        <is>
          <t>可调</t>
        </is>
      </c>
    </row>
    <row r="25">
      <c r="B25" s="14" t="inlineStr">
        <is>
          <t>合计年投入（万元）</t>
        </is>
      </c>
      <c r="D25" s="15">
        <f>SUM(D22:D24)</f>
        <v/>
      </c>
      <c r="E25" s="14">
        <f>SUM(E22:E24)</f>
        <v/>
      </c>
      <c r="F25" s="7" t="inlineStr">
        <is>
          <t>自动</t>
        </is>
      </c>
    </row>
    <row r="27" ht="30" customHeight="1">
      <c r="A27" s="3" t="inlineStr">
        <is>
          <t>4. 收益自动计算（基于客户实际值）</t>
        </is>
      </c>
    </row>
    <row r="28">
      <c r="A28" s="2" t="inlineStr">
        <is>
          <t>#</t>
        </is>
      </c>
      <c r="B28" s="2" t="inlineStr">
        <is>
          <t>收益项</t>
        </is>
      </c>
      <c r="C28" s="2" t="inlineStr"/>
      <c r="D28" s="2" t="inlineStr">
        <is>
          <t>公式说明</t>
        </is>
      </c>
      <c r="E28" s="2" t="inlineStr">
        <is>
          <t>金额（万元）</t>
        </is>
      </c>
      <c r="F28" s="2" t="inlineStr">
        <is>
          <t>类型</t>
        </is>
      </c>
    </row>
    <row r="29">
      <c r="A29" s="7" t="n">
        <v>1</v>
      </c>
      <c r="B29" s="11" t="inlineStr">
        <is>
          <t>新增出口订单利润</t>
        </is>
      </c>
      <c r="D29" s="7" t="inlineStr">
        <is>
          <t>见公式</t>
        </is>
      </c>
      <c r="E29" s="16">
        <f>E8*E9/100</f>
        <v/>
      </c>
      <c r="F29" s="7" t="inlineStr">
        <is>
          <t>自动</t>
        </is>
      </c>
    </row>
    <row r="30">
      <c r="A30" s="7" t="n">
        <v>2</v>
      </c>
      <c r="B30" s="11" t="inlineStr">
        <is>
          <t>账实差减少节省（年）</t>
        </is>
      </c>
      <c r="D30" s="7" t="inlineStr">
        <is>
          <t>见公式</t>
        </is>
      </c>
      <c r="E30" s="16">
        <f>E7*(E10-E11)/100*0.1</f>
        <v/>
      </c>
      <c r="F30" s="7" t="inlineStr">
        <is>
          <t>自动</t>
        </is>
      </c>
    </row>
    <row r="31">
      <c r="A31" s="7" t="n">
        <v>3</v>
      </c>
      <c r="B31" s="11" t="inlineStr">
        <is>
          <t>月报效率节省（年）</t>
        </is>
      </c>
      <c r="D31" s="7" t="inlineStr">
        <is>
          <t>见公式</t>
        </is>
      </c>
      <c r="E31" s="16">
        <f>(E12-E13)*E14/10000*12</f>
        <v/>
      </c>
      <c r="F31" s="7" t="inlineStr">
        <is>
          <t>自动</t>
        </is>
      </c>
    </row>
    <row r="32">
      <c r="B32" s="17" t="inlineStr">
        <is>
          <t>合计年收益（万元）</t>
        </is>
      </c>
      <c r="D32" s="7" t="inlineStr">
        <is>
          <t>加总</t>
        </is>
      </c>
      <c r="E32" s="17">
        <f>SUM(E29:E31)</f>
        <v/>
      </c>
    </row>
    <row r="34" ht="30" customHeight="1">
      <c r="A34" s="3" t="inlineStr">
        <is>
          <t>5. ROI 输出</t>
        </is>
      </c>
    </row>
    <row r="35">
      <c r="B35" s="18" t="inlineStr">
        <is>
          <t>年投入（万元）</t>
        </is>
      </c>
      <c r="E35" s="13">
        <f>E25</f>
        <v/>
      </c>
      <c r="F35" s="7" t="inlineStr">
        <is>
          <t>自动</t>
        </is>
      </c>
    </row>
    <row r="36">
      <c r="B36" s="18" t="inlineStr">
        <is>
          <t>年收益（万元）</t>
        </is>
      </c>
      <c r="E36" s="13">
        <f>E32</f>
        <v/>
      </c>
      <c r="F36" s="7" t="inlineStr">
        <is>
          <t>自动</t>
        </is>
      </c>
    </row>
    <row r="37">
      <c r="B37" s="18" t="inlineStr">
        <is>
          <t>年净收益（万元）</t>
        </is>
      </c>
      <c r="E37" s="13">
        <f>E32-E25</f>
        <v/>
      </c>
      <c r="F37" s="7" t="inlineStr">
        <is>
          <t>自动</t>
        </is>
      </c>
    </row>
    <row r="38">
      <c r="B38" s="18" t="inlineStr">
        <is>
          <t>3 年累计净收益（万元）</t>
        </is>
      </c>
      <c r="E38" s="13">
        <f>(E32-E25)*3</f>
        <v/>
      </c>
      <c r="F38" s="7" t="inlineStr">
        <is>
          <t>自动</t>
        </is>
      </c>
    </row>
    <row r="39">
      <c r="B39" s="18" t="inlineStr">
        <is>
          <t>ROI（倍数）</t>
        </is>
      </c>
      <c r="E39" s="13">
        <f>IFERROR(E32/E25,0)</f>
        <v/>
      </c>
      <c r="F39" s="7" t="inlineStr">
        <is>
          <t>自动</t>
        </is>
      </c>
    </row>
    <row r="40">
      <c r="B40" s="18" t="inlineStr">
        <is>
          <t>回本周期（月）</t>
        </is>
      </c>
      <c r="E40" s="13">
        <f>IFERROR(E25/E32*12,0)</f>
        <v/>
      </c>
      <c r="F40" s="7" t="inlineStr">
        <is>
          <t>自动</t>
        </is>
      </c>
    </row>
    <row r="42" ht="30" customHeight="1">
      <c r="A42" s="2" t="inlineStr">
        <is>
          <t>6. 公式说明</t>
        </is>
      </c>
    </row>
    <row r="43" ht="20" customHeight="1">
      <c r="A43" s="10" t="inlineStr">
        <is>
          <t>新增出口收益 = 出口订单 × 毛利率</t>
        </is>
      </c>
    </row>
    <row r="44" ht="20" customHeight="1">
      <c r="A44" s="10" t="inlineStr">
        <is>
          <t>节省内耗 = (当前账实差 - 目标账实差) × 年流水 × 10%（按沉淀资金成本估算）</t>
        </is>
      </c>
    </row>
    <row r="45" ht="20" customHeight="1">
      <c r="A45" s="10" t="inlineStr">
        <is>
          <t>月报效率 = 节省 14 天 × 财务人天成本 × 12 月</t>
        </is>
      </c>
    </row>
    <row r="46" ht="20" customHeight="1">
      <c r="A46" s="10" t="inlineStr">
        <is>
          <t>案例：江苏周总 数字化 → 通过审厂 → +¥1,500 万出口订单 / 6 月</t>
        </is>
      </c>
    </row>
  </sheetData>
  <mergeCells count="29">
    <mergeCell ref="A46:F46"/>
    <mergeCell ref="B25:C25"/>
    <mergeCell ref="A27:F27"/>
    <mergeCell ref="B22:C22"/>
    <mergeCell ref="B31:C31"/>
    <mergeCell ref="B38:D38"/>
    <mergeCell ref="A2:F2"/>
    <mergeCell ref="B37:D37"/>
    <mergeCell ref="A42:F42"/>
    <mergeCell ref="A5:F5"/>
    <mergeCell ref="B23:C23"/>
    <mergeCell ref="B40:D40"/>
    <mergeCell ref="A4:F4"/>
    <mergeCell ref="A20:F20"/>
    <mergeCell ref="A43:F43"/>
    <mergeCell ref="B36:D36"/>
    <mergeCell ref="B29:C29"/>
    <mergeCell ref="A44:F44"/>
    <mergeCell ref="B35:D35"/>
    <mergeCell ref="A9:F9"/>
    <mergeCell ref="A34:F34"/>
    <mergeCell ref="B24:C24"/>
    <mergeCell ref="B30:C30"/>
    <mergeCell ref="A1:F1"/>
    <mergeCell ref="A45:F45"/>
    <mergeCell ref="A6:F6"/>
    <mergeCell ref="B32:C32"/>
    <mergeCell ref="B39:D39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M4 · 风险控制场景（应收 + 风控）★ 销售首选</t>
        </is>
      </c>
    </row>
    <row r="2" ht="30" customHeight="1">
      <c r="A2" s="2" t="inlineStr">
        <is>
          <t>客户故事：江苏 XX 钢贸 赵总（改造前评分 45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Q3 应收账款占比（最关键题）</t>
        </is>
      </c>
    </row>
    <row r="6">
      <c r="A6" s="10" t="inlineStr">
        <is>
          <t>Q4 客户跑路次数（&lt; 3 分）</t>
        </is>
      </c>
    </row>
    <row r="7">
      <c r="A7" s="10" t="inlineStr">
        <is>
          <t>Q19 风险评估流程（&lt; 3 分）</t>
        </is>
      </c>
    </row>
    <row r="9" ht="30" customHeight="1">
      <c r="A9" s="3" t="inlineStr">
        <is>
          <t>2. 客户数据输入（请客户提供 / 默认为行业平均）</t>
        </is>
      </c>
    </row>
    <row r="10">
      <c r="A10" s="2" t="inlineStr">
        <is>
          <t>#</t>
        </is>
      </c>
      <c r="B10" s="2" t="inlineStr">
        <is>
          <t>字段</t>
        </is>
      </c>
      <c r="C10" s="2" t="inlineStr">
        <is>
          <t>单位</t>
        </is>
      </c>
      <c r="D10" s="2" t="inlineStr">
        <is>
          <t>默认值（行业平均）</t>
        </is>
      </c>
      <c r="E10" s="2" t="inlineStr">
        <is>
          <t>客户实际值（请填）</t>
        </is>
      </c>
      <c r="F10" s="2" t="inlineStr">
        <is>
          <t>备注</t>
        </is>
      </c>
    </row>
    <row r="11">
      <c r="A11" s="7" t="n">
        <v>1</v>
      </c>
      <c r="B11" s="11" t="inlineStr">
        <is>
          <t>年流水（万元）</t>
        </is>
      </c>
      <c r="C11" s="7" t="inlineStr">
        <is>
          <t>万元</t>
        </is>
      </c>
      <c r="D11" s="12" t="n">
        <v>25000</v>
      </c>
      <c r="E11" s="13" t="n">
        <v>25000</v>
      </c>
      <c r="F11" s="7" t="inlineStr">
        <is>
          <t>可调</t>
        </is>
      </c>
    </row>
    <row r="12">
      <c r="A12" s="7" t="n">
        <v>2</v>
      </c>
      <c r="B12" s="11" t="inlineStr">
        <is>
          <t>当前 90 天+ 应收占比</t>
        </is>
      </c>
      <c r="C12" s="7" t="inlineStr">
        <is>
          <t>%</t>
        </is>
      </c>
      <c r="D12" s="12" t="n">
        <v>38</v>
      </c>
      <c r="E12" s="13" t="n">
        <v>38</v>
      </c>
      <c r="F12" s="7" t="inlineStr">
        <is>
          <t>可调</t>
        </is>
      </c>
    </row>
    <row r="13">
      <c r="A13" s="7" t="n">
        <v>3</v>
      </c>
      <c r="B13" s="11" t="inlineStr">
        <is>
          <t>目标 90 天+ 应收占比</t>
        </is>
      </c>
      <c r="C13" s="7" t="inlineStr">
        <is>
          <t>%</t>
        </is>
      </c>
      <c r="D13" s="12" t="n">
        <v>13</v>
      </c>
      <c r="E13" s="13" t="n">
        <v>13</v>
      </c>
      <c r="F13" s="7" t="inlineStr">
        <is>
          <t>可调</t>
        </is>
      </c>
    </row>
    <row r="14">
      <c r="A14" s="7" t="n">
        <v>4</v>
      </c>
      <c r="B14" s="11" t="inlineStr">
        <is>
          <t>资金占用利率</t>
        </is>
      </c>
      <c r="C14" s="7" t="inlineStr">
        <is>
          <t>%</t>
        </is>
      </c>
      <c r="D14" s="12" t="n">
        <v>7.5</v>
      </c>
      <c r="E14" s="13" t="n">
        <v>7.5</v>
      </c>
      <c r="F14" s="7" t="inlineStr">
        <is>
          <t>可调</t>
        </is>
      </c>
    </row>
    <row r="15">
      <c r="A15" s="7" t="n">
        <v>5</v>
      </c>
      <c r="B15" s="11" t="inlineStr">
        <is>
          <t>历史坏账率</t>
        </is>
      </c>
      <c r="C15" s="7" t="inlineStr">
        <is>
          <t>%</t>
        </is>
      </c>
      <c r="D15" s="12" t="n">
        <v>1.5</v>
      </c>
      <c r="E15" s="13" t="n">
        <v>1.5</v>
      </c>
      <c r="F15" s="7" t="inlineStr">
        <is>
          <t>可调</t>
        </is>
      </c>
    </row>
    <row r="16">
      <c r="A16" s="7" t="n">
        <v>6</v>
      </c>
      <c r="B16" s="11" t="inlineStr">
        <is>
          <t>目标坏账率</t>
        </is>
      </c>
      <c r="C16" s="7" t="inlineStr">
        <is>
          <t>%</t>
        </is>
      </c>
      <c r="D16" s="12" t="n">
        <v>0.5</v>
      </c>
      <c r="E16" s="13" t="n">
        <v>0.5</v>
      </c>
      <c r="F16" s="7" t="inlineStr">
        <is>
          <t>可调</t>
        </is>
      </c>
    </row>
    <row r="17">
      <c r="A17" s="7" t="n">
        <v>7</v>
      </c>
      <c r="B17" s="11" t="inlineStr">
        <is>
          <t>当前银行授信（万元）</t>
        </is>
      </c>
      <c r="C17" s="7" t="inlineStr">
        <is>
          <t>万元</t>
        </is>
      </c>
      <c r="D17" s="12" t="n">
        <v>3000</v>
      </c>
      <c r="E17" s="13" t="n">
        <v>3000</v>
      </c>
      <c r="F17" s="7" t="inlineStr">
        <is>
          <t>可调</t>
        </is>
      </c>
    </row>
    <row r="18">
      <c r="A18" s="7" t="n">
        <v>8</v>
      </c>
      <c r="B18" s="11" t="inlineStr">
        <is>
          <t>授信提升预期</t>
        </is>
      </c>
      <c r="C18" s="7" t="inlineStr">
        <is>
          <t>%</t>
        </is>
      </c>
      <c r="D18" s="12" t="n">
        <v>50</v>
      </c>
      <c r="E18" s="13" t="n">
        <v>50</v>
      </c>
      <c r="F18" s="7" t="inlineStr">
        <is>
          <t>可调</t>
        </is>
      </c>
    </row>
    <row r="20" ht="30" customHeight="1">
      <c r="A20" s="3" t="inlineStr">
        <is>
          <t>3. 投入（默认值 / 可调）</t>
        </is>
      </c>
    </row>
    <row r="21">
      <c r="A21" s="2" t="inlineStr">
        <is>
          <t>#</t>
        </is>
      </c>
      <c r="B21" s="2" t="inlineStr">
        <is>
          <t>投入项</t>
        </is>
      </c>
      <c r="C21" s="2" t="inlineStr"/>
      <c r="D21" s="2" t="inlineStr">
        <is>
          <t>年费（万元）</t>
        </is>
      </c>
      <c r="E21" s="2" t="inlineStr">
        <is>
          <t>客户实际值</t>
        </is>
      </c>
      <c r="F21" s="2" t="inlineStr">
        <is>
          <t>备注</t>
        </is>
      </c>
    </row>
    <row r="22">
      <c r="A22" s="7" t="n">
        <v>1</v>
      </c>
      <c r="B22" s="11" t="inlineStr">
        <is>
          <t>AI 风控</t>
        </is>
      </c>
      <c r="D22" s="12" t="n">
        <v>8</v>
      </c>
      <c r="E22" s="13" t="n">
        <v>8</v>
      </c>
      <c r="F22" s="7" t="inlineStr">
        <is>
          <t>可调</t>
        </is>
      </c>
    </row>
    <row r="23">
      <c r="A23" s="7" t="n">
        <v>2</v>
      </c>
      <c r="B23" s="11" t="inlineStr">
        <is>
          <t>对账通 + 应收预警</t>
        </is>
      </c>
      <c r="D23" s="12" t="n">
        <v>6</v>
      </c>
      <c r="E23" s="13" t="n">
        <v>6</v>
      </c>
      <c r="F23" s="7" t="inlineStr">
        <is>
          <t>可调</t>
        </is>
      </c>
    </row>
    <row r="24">
      <c r="A24" s="7" t="n">
        <v>3</v>
      </c>
      <c r="B24" s="11" t="inlineStr">
        <is>
          <t>法务咨询</t>
        </is>
      </c>
      <c r="D24" s="12" t="n">
        <v>4</v>
      </c>
      <c r="E24" s="13" t="n">
        <v>4</v>
      </c>
      <c r="F24" s="7" t="inlineStr">
        <is>
          <t>可调</t>
        </is>
      </c>
    </row>
    <row r="25">
      <c r="B25" s="14" t="inlineStr">
        <is>
          <t>合计年投入（万元）</t>
        </is>
      </c>
      <c r="D25" s="15">
        <f>SUM(D22:D24)</f>
        <v/>
      </c>
      <c r="E25" s="14">
        <f>SUM(E22:E24)</f>
        <v/>
      </c>
      <c r="F25" s="7" t="inlineStr">
        <is>
          <t>自动</t>
        </is>
      </c>
    </row>
    <row r="27" ht="30" customHeight="1">
      <c r="A27" s="3" t="inlineStr">
        <is>
          <t>4. 收益自动计算（基于客户实际值）</t>
        </is>
      </c>
    </row>
    <row r="28">
      <c r="A28" s="2" t="inlineStr">
        <is>
          <t>#</t>
        </is>
      </c>
      <c r="B28" s="2" t="inlineStr">
        <is>
          <t>收益项</t>
        </is>
      </c>
      <c r="C28" s="2" t="inlineStr"/>
      <c r="D28" s="2" t="inlineStr">
        <is>
          <t>公式说明</t>
        </is>
      </c>
      <c r="E28" s="2" t="inlineStr">
        <is>
          <t>金额（万元）</t>
        </is>
      </c>
      <c r="F28" s="2" t="inlineStr">
        <is>
          <t>类型</t>
        </is>
      </c>
    </row>
    <row r="29">
      <c r="A29" s="7" t="n">
        <v>1</v>
      </c>
      <c r="B29" s="11" t="inlineStr">
        <is>
          <t>释放现金流（应收下降）</t>
        </is>
      </c>
      <c r="D29" s="7" t="inlineStr">
        <is>
          <t>见公式</t>
        </is>
      </c>
      <c r="E29" s="16">
        <f>E7*(E8-E9)/100</f>
        <v/>
      </c>
      <c r="F29" s="7" t="inlineStr">
        <is>
          <t>自动</t>
        </is>
      </c>
    </row>
    <row r="30">
      <c r="A30" s="7" t="n">
        <v>2</v>
      </c>
      <c r="B30" s="11" t="inlineStr">
        <is>
          <t>节省财务成本（年）</t>
        </is>
      </c>
      <c r="D30" s="7" t="inlineStr">
        <is>
          <t>见公式</t>
        </is>
      </c>
      <c r="E30" s="16">
        <f>E7*(E8-E9)/100*E10/100</f>
        <v/>
      </c>
      <c r="F30" s="7" t="inlineStr">
        <is>
          <t>自动</t>
        </is>
      </c>
    </row>
    <row r="31">
      <c r="A31" s="7" t="n">
        <v>3</v>
      </c>
      <c r="B31" s="11" t="inlineStr">
        <is>
          <t>避免坏账（年）</t>
        </is>
      </c>
      <c r="D31" s="7" t="inlineStr">
        <is>
          <t>见公式</t>
        </is>
      </c>
      <c r="E31" s="16">
        <f>E7*(E11-E12)/100</f>
        <v/>
      </c>
      <c r="F31" s="7" t="inlineStr">
        <is>
          <t>自动</t>
        </is>
      </c>
    </row>
    <row r="32">
      <c r="A32" s="7" t="n">
        <v>4</v>
      </c>
      <c r="B32" s="11" t="inlineStr">
        <is>
          <t>授信提升带来低息融资节省（年）</t>
        </is>
      </c>
      <c r="D32" s="7" t="inlineStr">
        <is>
          <t>见公式</t>
        </is>
      </c>
      <c r="E32" s="16">
        <f>E13*E14/100*0.02</f>
        <v/>
      </c>
      <c r="F32" s="7" t="inlineStr">
        <is>
          <t>自动</t>
        </is>
      </c>
    </row>
    <row r="33">
      <c r="B33" s="17" t="inlineStr">
        <is>
          <t>合计年收益（万元）</t>
        </is>
      </c>
      <c r="D33" s="7" t="inlineStr">
        <is>
          <t>加总</t>
        </is>
      </c>
      <c r="E33" s="17">
        <f>SUM(E29:E32)</f>
        <v/>
      </c>
    </row>
    <row r="35" ht="30" customHeight="1">
      <c r="A35" s="3" t="inlineStr">
        <is>
          <t>5. ROI 输出</t>
        </is>
      </c>
    </row>
    <row r="36">
      <c r="B36" s="18" t="inlineStr">
        <is>
          <t>年投入（万元）</t>
        </is>
      </c>
      <c r="E36" s="13">
        <f>E25</f>
        <v/>
      </c>
      <c r="F36" s="7" t="inlineStr">
        <is>
          <t>自动</t>
        </is>
      </c>
    </row>
    <row r="37">
      <c r="B37" s="18" t="inlineStr">
        <is>
          <t>年收益（万元）</t>
        </is>
      </c>
      <c r="E37" s="13">
        <f>E33</f>
        <v/>
      </c>
      <c r="F37" s="7" t="inlineStr">
        <is>
          <t>自动</t>
        </is>
      </c>
    </row>
    <row r="38">
      <c r="B38" s="18" t="inlineStr">
        <is>
          <t>年净收益（万元）</t>
        </is>
      </c>
      <c r="E38" s="13">
        <f>E33-E25</f>
        <v/>
      </c>
      <c r="F38" s="7" t="inlineStr">
        <is>
          <t>自动</t>
        </is>
      </c>
    </row>
    <row r="39">
      <c r="B39" s="18" t="inlineStr">
        <is>
          <t>3 年累计净收益（万元）</t>
        </is>
      </c>
      <c r="E39" s="13">
        <f>(E33-E25)*3</f>
        <v/>
      </c>
      <c r="F39" s="7" t="inlineStr">
        <is>
          <t>自动</t>
        </is>
      </c>
    </row>
    <row r="40">
      <c r="B40" s="18" t="inlineStr">
        <is>
          <t>ROI（倍数）</t>
        </is>
      </c>
      <c r="E40" s="13">
        <f>IFERROR(E33/E25,0)</f>
        <v/>
      </c>
      <c r="F40" s="7" t="inlineStr">
        <is>
          <t>自动</t>
        </is>
      </c>
    </row>
    <row r="41">
      <c r="B41" s="18" t="inlineStr">
        <is>
          <t>回本周期（月）</t>
        </is>
      </c>
      <c r="E41" s="13">
        <f>IFERROR(E25/E33*12,0)</f>
        <v/>
      </c>
      <c r="F41" s="7" t="inlineStr">
        <is>
          <t>自动</t>
        </is>
      </c>
    </row>
    <row r="43" ht="30" customHeight="1">
      <c r="A43" s="2" t="inlineStr">
        <is>
          <t>6. 公式说明</t>
        </is>
      </c>
    </row>
    <row r="44" ht="20" customHeight="1">
      <c r="A44" s="10" t="inlineStr">
        <is>
          <t>释放现金流 = 年流水 × (旧应收 - 新应收) / 100（一次性大额）</t>
        </is>
      </c>
    </row>
    <row r="45" ht="20" customHeight="1">
      <c r="A45" s="10" t="inlineStr">
        <is>
          <t>节省财务成本 = 释放现金流 × 资金利率</t>
        </is>
      </c>
    </row>
    <row r="46" ht="20" customHeight="1">
      <c r="A46" s="10" t="inlineStr">
        <is>
          <t>避免坏账 = 年流水 × (旧坏账 - 新坏账) / 100</t>
        </is>
      </c>
    </row>
    <row r="47" ht="20" customHeight="1">
      <c r="A47" s="10" t="inlineStr">
        <is>
          <t>案例：江苏赵总 应收 38%→13% / 9 月救回 ¥4,320 万 / ROI &gt; 100 倍</t>
        </is>
      </c>
    </row>
    <row r="48" ht="20" customHeight="1">
      <c r="A48" s="10" t="inlineStr">
        <is>
          <t>★ M4 是 7 大场景中 ROI 最高、回本最快的场景，销售优先讲 M4</t>
        </is>
      </c>
    </row>
  </sheetData>
  <mergeCells count="31">
    <mergeCell ref="A46:F46"/>
    <mergeCell ref="B25:C25"/>
    <mergeCell ref="A27:F27"/>
    <mergeCell ref="B22:C22"/>
    <mergeCell ref="B31:C31"/>
    <mergeCell ref="B38:D38"/>
    <mergeCell ref="A2:F2"/>
    <mergeCell ref="A47:F47"/>
    <mergeCell ref="B37:D37"/>
    <mergeCell ref="A5:F5"/>
    <mergeCell ref="B23:C23"/>
    <mergeCell ref="B40:D40"/>
    <mergeCell ref="A35:F35"/>
    <mergeCell ref="A4:F4"/>
    <mergeCell ref="A20:F20"/>
    <mergeCell ref="A43:F43"/>
    <mergeCell ref="B36:D36"/>
    <mergeCell ref="B29:C29"/>
    <mergeCell ref="B41:D41"/>
    <mergeCell ref="A44:F44"/>
    <mergeCell ref="A9:F9"/>
    <mergeCell ref="A48:F48"/>
    <mergeCell ref="B24:C24"/>
    <mergeCell ref="B30:C30"/>
    <mergeCell ref="B33:C33"/>
    <mergeCell ref="A1:F1"/>
    <mergeCell ref="A45:F45"/>
    <mergeCell ref="A6:F6"/>
    <mergeCell ref="B32:C32"/>
    <mergeCell ref="B39:D39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M5 · 增长能力场景（拓客 + 出口）</t>
        </is>
      </c>
    </row>
    <row r="2" ht="30" customHeight="1">
      <c r="A2" s="2" t="inlineStr">
        <is>
          <t>客户故事：浙江 XX 钢贸 钱总（改造前评分 50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Q21 新客户开发（&lt; 3 分）</t>
        </is>
      </c>
    </row>
    <row r="6">
      <c r="A6" s="10" t="inlineStr">
        <is>
          <t>Q22 出口业务比例（&lt; 3 分）</t>
        </is>
      </c>
    </row>
    <row r="7">
      <c r="A7" s="10" t="inlineStr">
        <is>
          <t>Q23 新业态拓展（&lt; 3 分）</t>
        </is>
      </c>
    </row>
    <row r="9" ht="30" customHeight="1">
      <c r="A9" s="3" t="inlineStr">
        <is>
          <t>2. 客户数据输入（请客户提供 / 默认为行业平均）</t>
        </is>
      </c>
    </row>
    <row r="10">
      <c r="A10" s="2" t="inlineStr">
        <is>
          <t>#</t>
        </is>
      </c>
      <c r="B10" s="2" t="inlineStr">
        <is>
          <t>字段</t>
        </is>
      </c>
      <c r="C10" s="2" t="inlineStr">
        <is>
          <t>单位</t>
        </is>
      </c>
      <c r="D10" s="2" t="inlineStr">
        <is>
          <t>默认值（行业平均）</t>
        </is>
      </c>
      <c r="E10" s="2" t="inlineStr">
        <is>
          <t>客户实际值（请填）</t>
        </is>
      </c>
      <c r="F10" s="2" t="inlineStr">
        <is>
          <t>备注</t>
        </is>
      </c>
    </row>
    <row r="11">
      <c r="A11" s="7" t="n">
        <v>1</v>
      </c>
      <c r="B11" s="11" t="inlineStr">
        <is>
          <t>年流水（万元）</t>
        </is>
      </c>
      <c r="C11" s="7" t="inlineStr">
        <is>
          <t>万元</t>
        </is>
      </c>
      <c r="D11" s="12" t="n">
        <v>20000</v>
      </c>
      <c r="E11" s="13" t="n">
        <v>20000</v>
      </c>
      <c r="F11" s="7" t="inlineStr">
        <is>
          <t>可调</t>
        </is>
      </c>
    </row>
    <row r="12">
      <c r="A12" s="7" t="n">
        <v>2</v>
      </c>
      <c r="B12" s="11" t="inlineStr">
        <is>
          <t>库存周转（前）</t>
        </is>
      </c>
      <c r="C12" s="7" t="inlineStr">
        <is>
          <t>天</t>
        </is>
      </c>
      <c r="D12" s="12" t="n">
        <v>60</v>
      </c>
      <c r="E12" s="13" t="n">
        <v>60</v>
      </c>
      <c r="F12" s="7" t="inlineStr">
        <is>
          <t>可调</t>
        </is>
      </c>
    </row>
    <row r="13">
      <c r="A13" s="7" t="n">
        <v>3</v>
      </c>
      <c r="B13" s="11" t="inlineStr">
        <is>
          <t>库存周转（后）</t>
        </is>
      </c>
      <c r="C13" s="7" t="inlineStr">
        <is>
          <t>天</t>
        </is>
      </c>
      <c r="D13" s="12" t="n">
        <v>35</v>
      </c>
      <c r="E13" s="13" t="n">
        <v>35</v>
      </c>
      <c r="F13" s="7" t="inlineStr">
        <is>
          <t>可调</t>
        </is>
      </c>
    </row>
    <row r="14">
      <c r="A14" s="7" t="n">
        <v>4</v>
      </c>
      <c r="B14" s="11" t="inlineStr">
        <is>
          <t>当前年库存损失</t>
        </is>
      </c>
      <c r="C14" s="7" t="inlineStr">
        <is>
          <t>万元</t>
        </is>
      </c>
      <c r="D14" s="12" t="n">
        <v>540</v>
      </c>
      <c r="E14" s="13" t="n">
        <v>540</v>
      </c>
      <c r="F14" s="7" t="inlineStr">
        <is>
          <t>可调</t>
        </is>
      </c>
    </row>
    <row r="15">
      <c r="A15" s="7" t="n">
        <v>5</v>
      </c>
      <c r="B15" s="11" t="inlineStr">
        <is>
          <t>库存损失下降比例</t>
        </is>
      </c>
      <c r="C15" s="7" t="inlineStr">
        <is>
          <t>%</t>
        </is>
      </c>
      <c r="D15" s="12" t="n">
        <v>60</v>
      </c>
      <c r="E15" s="13" t="n">
        <v>60</v>
      </c>
      <c r="F15" s="7" t="inlineStr">
        <is>
          <t>可调</t>
        </is>
      </c>
    </row>
    <row r="16">
      <c r="A16" s="7" t="n">
        <v>6</v>
      </c>
      <c r="B16" s="11" t="inlineStr">
        <is>
          <t>月新客户数（改造后）</t>
        </is>
      </c>
      <c r="C16" s="7" t="inlineStr">
        <is>
          <t>个</t>
        </is>
      </c>
      <c r="D16" s="12" t="n">
        <v>6</v>
      </c>
      <c r="E16" s="13" t="n">
        <v>6</v>
      </c>
      <c r="F16" s="7" t="inlineStr">
        <is>
          <t>可调</t>
        </is>
      </c>
    </row>
    <row r="17">
      <c r="A17" s="7" t="n">
        <v>7</v>
      </c>
      <c r="B17" s="11" t="inlineStr">
        <is>
          <t>客均年利润（万元）</t>
        </is>
      </c>
      <c r="C17" s="7" t="inlineStr">
        <is>
          <t>万元</t>
        </is>
      </c>
      <c r="D17" s="12" t="n">
        <v>8</v>
      </c>
      <c r="E17" s="13" t="n">
        <v>8</v>
      </c>
      <c r="F17" s="7" t="inlineStr">
        <is>
          <t>可调</t>
        </is>
      </c>
    </row>
    <row r="18">
      <c r="A18" s="7" t="n">
        <v>8</v>
      </c>
      <c r="B18" s="11" t="inlineStr">
        <is>
          <t>资金成本</t>
        </is>
      </c>
      <c r="C18" s="7" t="inlineStr">
        <is>
          <t>%</t>
        </is>
      </c>
      <c r="D18" s="12" t="n">
        <v>7</v>
      </c>
      <c r="E18" s="13" t="n">
        <v>7</v>
      </c>
      <c r="F18" s="7" t="inlineStr">
        <is>
          <t>可调</t>
        </is>
      </c>
    </row>
    <row r="20" ht="30" customHeight="1">
      <c r="A20" s="3" t="inlineStr">
        <is>
          <t>3. 投入（默认值 / 可调）</t>
        </is>
      </c>
    </row>
    <row r="21">
      <c r="A21" s="2" t="inlineStr">
        <is>
          <t>#</t>
        </is>
      </c>
      <c r="B21" s="2" t="inlineStr">
        <is>
          <t>投入项</t>
        </is>
      </c>
      <c r="C21" s="2" t="inlineStr"/>
      <c r="D21" s="2" t="inlineStr">
        <is>
          <t>年费（万元）</t>
        </is>
      </c>
      <c r="E21" s="2" t="inlineStr">
        <is>
          <t>客户实际值</t>
        </is>
      </c>
      <c r="F21" s="2" t="inlineStr">
        <is>
          <t>备注</t>
        </is>
      </c>
    </row>
    <row r="22">
      <c r="A22" s="7" t="n">
        <v>1</v>
      </c>
      <c r="B22" s="11" t="inlineStr">
        <is>
          <t>AI 钢价预警 + AI 库存</t>
        </is>
      </c>
      <c r="D22" s="12" t="n">
        <v>8</v>
      </c>
      <c r="E22" s="13" t="n">
        <v>8</v>
      </c>
      <c r="F22" s="7" t="inlineStr">
        <is>
          <t>可调</t>
        </is>
      </c>
    </row>
    <row r="23">
      <c r="A23" s="7" t="n">
        <v>2</v>
      </c>
      <c r="B23" s="11" t="inlineStr">
        <is>
          <t>WMS</t>
        </is>
      </c>
      <c r="D23" s="12" t="n">
        <v>6</v>
      </c>
      <c r="E23" s="13" t="n">
        <v>6</v>
      </c>
      <c r="F23" s="7" t="inlineStr">
        <is>
          <t>可调</t>
        </is>
      </c>
    </row>
    <row r="24">
      <c r="A24" s="7" t="n">
        <v>3</v>
      </c>
      <c r="B24" s="11" t="inlineStr">
        <is>
          <t>现货平台 + 拓客</t>
        </is>
      </c>
      <c r="D24" s="12" t="n">
        <v>4</v>
      </c>
      <c r="E24" s="13" t="n">
        <v>4</v>
      </c>
      <c r="F24" s="7" t="inlineStr">
        <is>
          <t>可调</t>
        </is>
      </c>
    </row>
    <row r="25">
      <c r="B25" s="14" t="inlineStr">
        <is>
          <t>合计年投入（万元）</t>
        </is>
      </c>
      <c r="D25" s="15">
        <f>SUM(D22:D24)</f>
        <v/>
      </c>
      <c r="E25" s="14">
        <f>SUM(E22:E24)</f>
        <v/>
      </c>
      <c r="F25" s="7" t="inlineStr">
        <is>
          <t>自动</t>
        </is>
      </c>
    </row>
    <row r="27" ht="30" customHeight="1">
      <c r="A27" s="3" t="inlineStr">
        <is>
          <t>4. 收益自动计算（基于客户实际值）</t>
        </is>
      </c>
    </row>
    <row r="28">
      <c r="A28" s="2" t="inlineStr">
        <is>
          <t>#</t>
        </is>
      </c>
      <c r="B28" s="2" t="inlineStr">
        <is>
          <t>收益项</t>
        </is>
      </c>
      <c r="C28" s="2" t="inlineStr"/>
      <c r="D28" s="2" t="inlineStr">
        <is>
          <t>公式说明</t>
        </is>
      </c>
      <c r="E28" s="2" t="inlineStr">
        <is>
          <t>金额（万元）</t>
        </is>
      </c>
      <c r="F28" s="2" t="inlineStr">
        <is>
          <t>类型</t>
        </is>
      </c>
    </row>
    <row r="29">
      <c r="A29" s="7" t="n">
        <v>1</v>
      </c>
      <c r="B29" s="11" t="inlineStr">
        <is>
          <t>减少库存损失</t>
        </is>
      </c>
      <c r="D29" s="7" t="inlineStr">
        <is>
          <t>见公式</t>
        </is>
      </c>
      <c r="E29" s="16">
        <f>E10*E11/100</f>
        <v/>
      </c>
      <c r="F29" s="7" t="inlineStr">
        <is>
          <t>自动</t>
        </is>
      </c>
    </row>
    <row r="30">
      <c r="A30" s="7" t="n">
        <v>2</v>
      </c>
      <c r="B30" s="11" t="inlineStr">
        <is>
          <t>释放库存现金（年化收益）</t>
        </is>
      </c>
      <c r="D30" s="7" t="inlineStr">
        <is>
          <t>见公式</t>
        </is>
      </c>
      <c r="E30" s="16">
        <f>E7*(E8-E9)/365*E14/100</f>
        <v/>
      </c>
      <c r="F30" s="7" t="inlineStr">
        <is>
          <t>自动</t>
        </is>
      </c>
    </row>
    <row r="31">
      <c r="A31" s="7" t="n">
        <v>3</v>
      </c>
      <c r="B31" s="11" t="inlineStr">
        <is>
          <t>新增客户年利润</t>
        </is>
      </c>
      <c r="D31" s="7" t="inlineStr">
        <is>
          <t>见公式</t>
        </is>
      </c>
      <c r="E31" s="16">
        <f>E12*6*E13</f>
        <v/>
      </c>
      <c r="F31" s="7" t="inlineStr">
        <is>
          <t>自动</t>
        </is>
      </c>
    </row>
    <row r="32">
      <c r="B32" s="17" t="inlineStr">
        <is>
          <t>合计年收益（万元）</t>
        </is>
      </c>
      <c r="D32" s="7" t="inlineStr">
        <is>
          <t>加总</t>
        </is>
      </c>
      <c r="E32" s="17">
        <f>SUM(E29:E31)</f>
        <v/>
      </c>
    </row>
    <row r="34" ht="30" customHeight="1">
      <c r="A34" s="3" t="inlineStr">
        <is>
          <t>5. ROI 输出</t>
        </is>
      </c>
    </row>
    <row r="35">
      <c r="B35" s="18" t="inlineStr">
        <is>
          <t>年投入（万元）</t>
        </is>
      </c>
      <c r="E35" s="13">
        <f>E25</f>
        <v/>
      </c>
      <c r="F35" s="7" t="inlineStr">
        <is>
          <t>自动</t>
        </is>
      </c>
    </row>
    <row r="36">
      <c r="B36" s="18" t="inlineStr">
        <is>
          <t>年收益（万元）</t>
        </is>
      </c>
      <c r="E36" s="13">
        <f>E32</f>
        <v/>
      </c>
      <c r="F36" s="7" t="inlineStr">
        <is>
          <t>自动</t>
        </is>
      </c>
    </row>
    <row r="37">
      <c r="B37" s="18" t="inlineStr">
        <is>
          <t>年净收益（万元）</t>
        </is>
      </c>
      <c r="E37" s="13">
        <f>E32-E25</f>
        <v/>
      </c>
      <c r="F37" s="7" t="inlineStr">
        <is>
          <t>自动</t>
        </is>
      </c>
    </row>
    <row r="38">
      <c r="B38" s="18" t="inlineStr">
        <is>
          <t>3 年累计净收益（万元）</t>
        </is>
      </c>
      <c r="E38" s="13">
        <f>(E32-E25)*3</f>
        <v/>
      </c>
      <c r="F38" s="7" t="inlineStr">
        <is>
          <t>自动</t>
        </is>
      </c>
    </row>
    <row r="39">
      <c r="B39" s="18" t="inlineStr">
        <is>
          <t>ROI（倍数）</t>
        </is>
      </c>
      <c r="E39" s="13">
        <f>IFERROR(E32/E25,0)</f>
        <v/>
      </c>
      <c r="F39" s="7" t="inlineStr">
        <is>
          <t>自动</t>
        </is>
      </c>
    </row>
    <row r="40">
      <c r="B40" s="18" t="inlineStr">
        <is>
          <t>回本周期（月）</t>
        </is>
      </c>
      <c r="E40" s="13">
        <f>IFERROR(E25/E32*12,0)</f>
        <v/>
      </c>
      <c r="F40" s="7" t="inlineStr">
        <is>
          <t>自动</t>
        </is>
      </c>
    </row>
    <row r="42" ht="30" customHeight="1">
      <c r="A42" s="2" t="inlineStr">
        <is>
          <t>6. 公式说明</t>
        </is>
      </c>
    </row>
    <row r="43" ht="20" customHeight="1">
      <c r="A43" s="10" t="inlineStr">
        <is>
          <t>减少库存损失 = 当前损失 × 下降比例</t>
        </is>
      </c>
    </row>
    <row r="44" ht="20" customHeight="1">
      <c r="A44" s="10" t="inlineStr">
        <is>
          <t>释放库存现金 = 年流水 × (旧周转 - 新周转) / 365 × 资金成本</t>
        </is>
      </c>
    </row>
    <row r="45" ht="20" customHeight="1">
      <c r="A45" s="10" t="inlineStr">
        <is>
          <t>新增客户 = 月新客户 × 6 个月留存 × 客均利润</t>
        </is>
      </c>
    </row>
    <row r="46" ht="20" customHeight="1">
      <c r="A46" s="10" t="inlineStr">
        <is>
          <t>案例：浙江钱总 库存周转 60→35 天 / 释放 ¥4,000 万 / 损失 -60%</t>
        </is>
      </c>
    </row>
  </sheetData>
  <mergeCells count="29">
    <mergeCell ref="A46:F46"/>
    <mergeCell ref="B25:C25"/>
    <mergeCell ref="A27:F27"/>
    <mergeCell ref="B22:C22"/>
    <mergeCell ref="B31:C31"/>
    <mergeCell ref="B38:D38"/>
    <mergeCell ref="A2:F2"/>
    <mergeCell ref="B37:D37"/>
    <mergeCell ref="A42:F42"/>
    <mergeCell ref="A5:F5"/>
    <mergeCell ref="B23:C23"/>
    <mergeCell ref="B40:D40"/>
    <mergeCell ref="A4:F4"/>
    <mergeCell ref="A20:F20"/>
    <mergeCell ref="A43:F43"/>
    <mergeCell ref="B36:D36"/>
    <mergeCell ref="B29:C29"/>
    <mergeCell ref="A44:F44"/>
    <mergeCell ref="B35:D35"/>
    <mergeCell ref="A9:F9"/>
    <mergeCell ref="A34:F34"/>
    <mergeCell ref="B24:C24"/>
    <mergeCell ref="B30:C30"/>
    <mergeCell ref="A1:F1"/>
    <mergeCell ref="A45:F45"/>
    <mergeCell ref="A6:F6"/>
    <mergeCell ref="B32:C32"/>
    <mergeCell ref="B39:D39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M6 · 团队 + 接班场景 ★ 估值杠杆</t>
        </is>
      </c>
    </row>
    <row r="2" ht="30" customHeight="1">
      <c r="A2" s="2" t="inlineStr">
        <is>
          <t>客户故事：江苏 XX 镀锌 周总 + 二代（改造前评分 55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Q26 销售流失率（&lt; 3 分）</t>
        </is>
      </c>
    </row>
    <row r="6">
      <c r="A6" s="10" t="inlineStr">
        <is>
          <t>Q27 接班准备（&lt; 3 分）</t>
        </is>
      </c>
    </row>
    <row r="7">
      <c r="A7" s="10" t="inlineStr">
        <is>
          <t>Q28 关键岗位备份（&lt; 3 分）</t>
        </is>
      </c>
    </row>
    <row r="9" ht="30" customHeight="1">
      <c r="A9" s="3" t="inlineStr">
        <is>
          <t>2. 客户数据输入（请客户提供 / 默认为行业平均）</t>
        </is>
      </c>
    </row>
    <row r="10">
      <c r="A10" s="2" t="inlineStr">
        <is>
          <t>#</t>
        </is>
      </c>
      <c r="B10" s="2" t="inlineStr">
        <is>
          <t>字段</t>
        </is>
      </c>
      <c r="C10" s="2" t="inlineStr">
        <is>
          <t>单位</t>
        </is>
      </c>
      <c r="D10" s="2" t="inlineStr">
        <is>
          <t>默认值（行业平均）</t>
        </is>
      </c>
      <c r="E10" s="2" t="inlineStr">
        <is>
          <t>客户实际值（请填）</t>
        </is>
      </c>
      <c r="F10" s="2" t="inlineStr">
        <is>
          <t>备注</t>
        </is>
      </c>
    </row>
    <row r="11">
      <c r="A11" s="7" t="n">
        <v>1</v>
      </c>
      <c r="B11" s="11" t="inlineStr">
        <is>
          <t>年流水（万元）</t>
        </is>
      </c>
      <c r="C11" s="7" t="inlineStr">
        <is>
          <t>万元</t>
        </is>
      </c>
      <c r="D11" s="12" t="n">
        <v>40000</v>
      </c>
      <c r="E11" s="13" t="n">
        <v>40000</v>
      </c>
      <c r="F11" s="7" t="inlineStr">
        <is>
          <t>可调</t>
        </is>
      </c>
    </row>
    <row r="12">
      <c r="A12" s="7" t="n">
        <v>2</v>
      </c>
      <c r="B12" s="11" t="inlineStr">
        <is>
          <t>当前公司估值（万元）</t>
        </is>
      </c>
      <c r="C12" s="7" t="inlineStr">
        <is>
          <t>万元</t>
        </is>
      </c>
      <c r="D12" s="12" t="n">
        <v>15000</v>
      </c>
      <c r="E12" s="13" t="n">
        <v>15000</v>
      </c>
      <c r="F12" s="7" t="inlineStr">
        <is>
          <t>可调</t>
        </is>
      </c>
    </row>
    <row r="13">
      <c r="A13" s="7" t="n">
        <v>3</v>
      </c>
      <c r="B13" s="11" t="inlineStr">
        <is>
          <t>估值提升目标</t>
        </is>
      </c>
      <c r="C13" s="7" t="inlineStr">
        <is>
          <t>%</t>
        </is>
      </c>
      <c r="D13" s="12" t="n">
        <v>60</v>
      </c>
      <c r="E13" s="13" t="n">
        <v>60</v>
      </c>
      <c r="F13" s="7" t="inlineStr">
        <is>
          <t>可调</t>
        </is>
      </c>
    </row>
    <row r="14">
      <c r="A14" s="7" t="n">
        <v>4</v>
      </c>
      <c r="B14" s="11" t="inlineStr">
        <is>
          <t>营收提升目标</t>
        </is>
      </c>
      <c r="C14" s="7" t="inlineStr">
        <is>
          <t>%</t>
        </is>
      </c>
      <c r="D14" s="12" t="n">
        <v>25</v>
      </c>
      <c r="E14" s="13" t="n">
        <v>25</v>
      </c>
      <c r="F14" s="7" t="inlineStr">
        <is>
          <t>可调</t>
        </is>
      </c>
    </row>
    <row r="15">
      <c r="A15" s="7" t="n">
        <v>5</v>
      </c>
      <c r="B15" s="11" t="inlineStr">
        <is>
          <t>接班失败导致流失（万元/年）</t>
        </is>
      </c>
      <c r="C15" s="7" t="inlineStr">
        <is>
          <t>万元</t>
        </is>
      </c>
      <c r="D15" s="12" t="n">
        <v>1000</v>
      </c>
      <c r="E15" s="13" t="n">
        <v>1000</v>
      </c>
      <c r="F15" s="7" t="inlineStr">
        <is>
          <t>可调</t>
        </is>
      </c>
    </row>
    <row r="16">
      <c r="A16" s="7" t="n">
        <v>6</v>
      </c>
      <c r="B16" s="11" t="inlineStr">
        <is>
          <t>接班成功概率提升</t>
        </is>
      </c>
      <c r="C16" s="7" t="inlineStr">
        <is>
          <t>%</t>
        </is>
      </c>
      <c r="D16" s="12" t="n">
        <v>50</v>
      </c>
      <c r="E16" s="13" t="n">
        <v>50</v>
      </c>
      <c r="F16" s="7" t="inlineStr">
        <is>
          <t>可调</t>
        </is>
      </c>
    </row>
    <row r="17">
      <c r="A17" s="7" t="n">
        <v>7</v>
      </c>
      <c r="B17" s="11" t="inlineStr">
        <is>
          <t>毛利率</t>
        </is>
      </c>
      <c r="C17" s="7" t="inlineStr">
        <is>
          <t>%</t>
        </is>
      </c>
      <c r="D17" s="12" t="n">
        <v>3</v>
      </c>
      <c r="E17" s="13" t="n">
        <v>3</v>
      </c>
      <c r="F17" s="7" t="inlineStr">
        <is>
          <t>可调</t>
        </is>
      </c>
    </row>
    <row r="19" ht="30" customHeight="1">
      <c r="A19" s="3" t="inlineStr">
        <is>
          <t>3. 投入（默认值 / 可调）</t>
        </is>
      </c>
    </row>
    <row r="20">
      <c r="A20" s="2" t="inlineStr">
        <is>
          <t>#</t>
        </is>
      </c>
      <c r="B20" s="2" t="inlineStr">
        <is>
          <t>投入项</t>
        </is>
      </c>
      <c r="C20" s="2" t="inlineStr"/>
      <c r="D20" s="2" t="inlineStr">
        <is>
          <t>年费（万元）</t>
        </is>
      </c>
      <c r="E20" s="2" t="inlineStr">
        <is>
          <t>客户实际值</t>
        </is>
      </c>
      <c r="F20" s="2" t="inlineStr">
        <is>
          <t>备注</t>
        </is>
      </c>
    </row>
    <row r="21">
      <c r="A21" s="7" t="n">
        <v>1</v>
      </c>
      <c r="B21" s="11" t="inlineStr">
        <is>
          <t>数字化全套（ERP+WMS+AI）</t>
        </is>
      </c>
      <c r="D21" s="12" t="n">
        <v>50</v>
      </c>
      <c r="E21" s="13" t="n">
        <v>50</v>
      </c>
      <c r="F21" s="7" t="inlineStr">
        <is>
          <t>可调</t>
        </is>
      </c>
    </row>
    <row r="22">
      <c r="A22" s="7" t="n">
        <v>2</v>
      </c>
      <c r="B22" s="11" t="inlineStr">
        <is>
          <t>接班顾问陪跑（12 月）</t>
        </is>
      </c>
      <c r="D22" s="12" t="n">
        <v>20</v>
      </c>
      <c r="E22" s="13" t="n">
        <v>20</v>
      </c>
      <c r="F22" s="7" t="inlineStr">
        <is>
          <t>可调</t>
        </is>
      </c>
    </row>
    <row r="23">
      <c r="A23" s="7" t="n">
        <v>3</v>
      </c>
      <c r="B23" s="11" t="inlineStr">
        <is>
          <t>二代俱乐部入会</t>
        </is>
      </c>
      <c r="D23" s="12" t="n">
        <v>5</v>
      </c>
      <c r="E23" s="13" t="n">
        <v>5</v>
      </c>
      <c r="F23" s="7" t="inlineStr">
        <is>
          <t>可调</t>
        </is>
      </c>
    </row>
    <row r="24">
      <c r="A24" s="7" t="n">
        <v>4</v>
      </c>
      <c r="B24" s="11" t="inlineStr">
        <is>
          <t>股权激励设计</t>
        </is>
      </c>
      <c r="D24" s="12" t="n">
        <v>5</v>
      </c>
      <c r="E24" s="13" t="n">
        <v>5</v>
      </c>
      <c r="F24" s="7" t="inlineStr">
        <is>
          <t>可调</t>
        </is>
      </c>
    </row>
    <row r="25">
      <c r="B25" s="14" t="inlineStr">
        <is>
          <t>合计年投入（万元）</t>
        </is>
      </c>
      <c r="D25" s="15">
        <f>SUM(D21:D24)</f>
        <v/>
      </c>
      <c r="E25" s="14">
        <f>SUM(E21:E24)</f>
        <v/>
      </c>
      <c r="F25" s="7" t="inlineStr">
        <is>
          <t>自动</t>
        </is>
      </c>
    </row>
    <row r="27" ht="30" customHeight="1">
      <c r="A27" s="3" t="inlineStr">
        <is>
          <t>4. 收益自动计算（基于客户实际值）</t>
        </is>
      </c>
    </row>
    <row r="28">
      <c r="A28" s="2" t="inlineStr">
        <is>
          <t>#</t>
        </is>
      </c>
      <c r="B28" s="2" t="inlineStr">
        <is>
          <t>收益项</t>
        </is>
      </c>
      <c r="C28" s="2" t="inlineStr"/>
      <c r="D28" s="2" t="inlineStr">
        <is>
          <t>公式说明</t>
        </is>
      </c>
      <c r="E28" s="2" t="inlineStr">
        <is>
          <t>金额（万元）</t>
        </is>
      </c>
      <c r="F28" s="2" t="inlineStr">
        <is>
          <t>类型</t>
        </is>
      </c>
    </row>
    <row r="29">
      <c r="A29" s="7" t="n">
        <v>1</v>
      </c>
      <c r="B29" s="11" t="inlineStr">
        <is>
          <t>公司估值增加</t>
        </is>
      </c>
      <c r="D29" s="7" t="inlineStr">
        <is>
          <t>见公式</t>
        </is>
      </c>
      <c r="E29" s="16">
        <f>E8*E9/100</f>
        <v/>
      </c>
      <c r="F29" s="7" t="inlineStr">
        <is>
          <t>自动</t>
        </is>
      </c>
    </row>
    <row r="30">
      <c r="A30" s="7" t="n">
        <v>2</v>
      </c>
      <c r="B30" s="11" t="inlineStr">
        <is>
          <t>营收增加（年净利润）</t>
        </is>
      </c>
      <c r="D30" s="7" t="inlineStr">
        <is>
          <t>见公式</t>
        </is>
      </c>
      <c r="E30" s="16">
        <f>E7*E10/100*E13/100</f>
        <v/>
      </c>
      <c r="F30" s="7" t="inlineStr">
        <is>
          <t>自动</t>
        </is>
      </c>
    </row>
    <row r="31">
      <c r="A31" s="7" t="n">
        <v>3</v>
      </c>
      <c r="B31" s="11" t="inlineStr">
        <is>
          <t>避免接班失败损失</t>
        </is>
      </c>
      <c r="D31" s="7" t="inlineStr">
        <is>
          <t>见公式</t>
        </is>
      </c>
      <c r="E31" s="16">
        <f>E11*E12/100</f>
        <v/>
      </c>
      <c r="F31" s="7" t="inlineStr">
        <is>
          <t>自动</t>
        </is>
      </c>
    </row>
    <row r="32">
      <c r="B32" s="17" t="inlineStr">
        <is>
          <t>合计年收益（万元）</t>
        </is>
      </c>
      <c r="D32" s="7" t="inlineStr">
        <is>
          <t>加总</t>
        </is>
      </c>
      <c r="E32" s="17">
        <f>SUM(E29:E31)</f>
        <v/>
      </c>
    </row>
    <row r="34" ht="30" customHeight="1">
      <c r="A34" s="3" t="inlineStr">
        <is>
          <t>5. ROI 输出</t>
        </is>
      </c>
    </row>
    <row r="35">
      <c r="B35" s="18" t="inlineStr">
        <is>
          <t>年投入（万元）</t>
        </is>
      </c>
      <c r="E35" s="13">
        <f>E25</f>
        <v/>
      </c>
      <c r="F35" s="7" t="inlineStr">
        <is>
          <t>自动</t>
        </is>
      </c>
    </row>
    <row r="36">
      <c r="B36" s="18" t="inlineStr">
        <is>
          <t>年收益（万元）</t>
        </is>
      </c>
      <c r="E36" s="13">
        <f>E32</f>
        <v/>
      </c>
      <c r="F36" s="7" t="inlineStr">
        <is>
          <t>自动</t>
        </is>
      </c>
    </row>
    <row r="37">
      <c r="B37" s="18" t="inlineStr">
        <is>
          <t>年净收益（万元）</t>
        </is>
      </c>
      <c r="E37" s="13">
        <f>E32-E25</f>
        <v/>
      </c>
      <c r="F37" s="7" t="inlineStr">
        <is>
          <t>自动</t>
        </is>
      </c>
    </row>
    <row r="38">
      <c r="B38" s="18" t="inlineStr">
        <is>
          <t>3 年累计净收益（万元）</t>
        </is>
      </c>
      <c r="E38" s="13">
        <f>(E32-E25)*3</f>
        <v/>
      </c>
      <c r="F38" s="7" t="inlineStr">
        <is>
          <t>自动</t>
        </is>
      </c>
    </row>
    <row r="39">
      <c r="B39" s="18" t="inlineStr">
        <is>
          <t>ROI（倍数）</t>
        </is>
      </c>
      <c r="E39" s="13">
        <f>IFERROR(E32/E25,0)</f>
        <v/>
      </c>
      <c r="F39" s="7" t="inlineStr">
        <is>
          <t>自动</t>
        </is>
      </c>
    </row>
    <row r="40">
      <c r="B40" s="18" t="inlineStr">
        <is>
          <t>回本周期（月）</t>
        </is>
      </c>
      <c r="E40" s="13">
        <f>IFERROR(E25/E32*12,0)</f>
        <v/>
      </c>
      <c r="F40" s="7" t="inlineStr">
        <is>
          <t>自动</t>
        </is>
      </c>
    </row>
    <row r="42" ht="30" customHeight="1">
      <c r="A42" s="2" t="inlineStr">
        <is>
          <t>6. 公式说明</t>
        </is>
      </c>
    </row>
    <row r="43" ht="20" customHeight="1">
      <c r="A43" s="10" t="inlineStr">
        <is>
          <t>估值增加 = 当前估值 × 提升比例</t>
        </is>
      </c>
    </row>
    <row r="44" ht="20" customHeight="1">
      <c r="A44" s="10" t="inlineStr">
        <is>
          <t>营收增加（年净利润）= 年流水 × 提升比例 × 毛利率</t>
        </is>
      </c>
    </row>
    <row r="45" ht="20" customHeight="1">
      <c r="A45" s="10" t="inlineStr">
        <is>
          <t>避免接班失败 = 失败流失 × 成功概率提升</t>
        </is>
      </c>
    </row>
    <row r="46" ht="20" customHeight="1">
      <c r="A46" s="10" t="inlineStr">
        <is>
          <t>案例：江苏周总 估值 ¥1.5 亿 → ¥2.5 亿（+¥1 亿）/ 营收 +25%</t>
        </is>
      </c>
    </row>
    <row r="47" ht="20" customHeight="1">
      <c r="A47" s="10" t="inlineStr">
        <is>
          <t>★ M6 是 7 大场景中单 ROI 最大（估值层级）的场景，适合 ¥3 亿+ 客户</t>
        </is>
      </c>
    </row>
  </sheetData>
  <mergeCells count="31">
    <mergeCell ref="A46:F46"/>
    <mergeCell ref="B25:C25"/>
    <mergeCell ref="A27:F27"/>
    <mergeCell ref="B22:C22"/>
    <mergeCell ref="B31:C31"/>
    <mergeCell ref="B38:D38"/>
    <mergeCell ref="A2:F2"/>
    <mergeCell ref="B21:C21"/>
    <mergeCell ref="A47:F47"/>
    <mergeCell ref="B37:D37"/>
    <mergeCell ref="A42:F42"/>
    <mergeCell ref="A5:F5"/>
    <mergeCell ref="B23:C23"/>
    <mergeCell ref="B40:D40"/>
    <mergeCell ref="A4:F4"/>
    <mergeCell ref="A43:F43"/>
    <mergeCell ref="B36:D36"/>
    <mergeCell ref="B29:C29"/>
    <mergeCell ref="A19:F19"/>
    <mergeCell ref="A44:F44"/>
    <mergeCell ref="B35:D35"/>
    <mergeCell ref="A9:F9"/>
    <mergeCell ref="A34:F34"/>
    <mergeCell ref="B24:C24"/>
    <mergeCell ref="B30:C30"/>
    <mergeCell ref="A1:F1"/>
    <mergeCell ref="A45:F45"/>
    <mergeCell ref="A6:F6"/>
    <mergeCell ref="B32:C32"/>
    <mergeCell ref="B39:D39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6" customWidth="1" min="5" max="5"/>
    <col width="16" customWidth="1" min="6" max="6"/>
  </cols>
  <sheetData>
    <row r="1" ht="30" customHeight="1">
      <c r="A1" s="1" t="inlineStr">
        <is>
          <t>M7 · 战略前瞻场景（服务化 + 转型）</t>
        </is>
      </c>
    </row>
    <row r="2" ht="30" customHeight="1">
      <c r="A2" s="2" t="inlineStr">
        <is>
          <t>客户故事：上海 XX 钢贸 X 总（改造前评分 42 分）</t>
        </is>
      </c>
    </row>
    <row r="4" ht="30" customHeight="1">
      <c r="A4" s="3" t="inlineStr">
        <is>
          <t>1. 红区识别（30 题对应）</t>
        </is>
      </c>
    </row>
    <row r="5">
      <c r="A5" s="10" t="inlineStr">
        <is>
          <t>Q29 三年战略清晰度（&lt; 3 分）</t>
        </is>
      </c>
    </row>
    <row r="6">
      <c r="A6" s="10" t="inlineStr">
        <is>
          <t>Q30 服务化转型（&lt; 3 分）</t>
        </is>
      </c>
    </row>
    <row r="8" ht="30" customHeight="1">
      <c r="A8" s="3" t="inlineStr">
        <is>
          <t>2. 客户数据输入（请客户提供 / 默认为行业平均）</t>
        </is>
      </c>
    </row>
    <row r="9">
      <c r="A9" s="2" t="inlineStr">
        <is>
          <t>#</t>
        </is>
      </c>
      <c r="B9" s="2" t="inlineStr">
        <is>
          <t>字段</t>
        </is>
      </c>
      <c r="C9" s="2" t="inlineStr">
        <is>
          <t>单位</t>
        </is>
      </c>
      <c r="D9" s="2" t="inlineStr">
        <is>
          <t>默认值（行业平均）</t>
        </is>
      </c>
      <c r="E9" s="2" t="inlineStr">
        <is>
          <t>客户实际值（请填）</t>
        </is>
      </c>
      <c r="F9" s="2" t="inlineStr">
        <is>
          <t>备注</t>
        </is>
      </c>
    </row>
    <row r="10">
      <c r="A10" s="7" t="n">
        <v>1</v>
      </c>
      <c r="B10" s="11" t="inlineStr">
        <is>
          <t>年流水（万元）</t>
        </is>
      </c>
      <c r="C10" s="7" t="inlineStr">
        <is>
          <t>万元</t>
        </is>
      </c>
      <c r="D10" s="12" t="n">
        <v>50000</v>
      </c>
      <c r="E10" s="13" t="n">
        <v>50000</v>
      </c>
      <c r="F10" s="7" t="inlineStr">
        <is>
          <t>可调</t>
        </is>
      </c>
    </row>
    <row r="11">
      <c r="A11" s="7" t="n">
        <v>2</v>
      </c>
      <c r="B11" s="11" t="inlineStr">
        <is>
          <t>当前毛利率</t>
        </is>
      </c>
      <c r="C11" s="7" t="inlineStr">
        <is>
          <t>%</t>
        </is>
      </c>
      <c r="D11" s="12" t="n">
        <v>1.5</v>
      </c>
      <c r="E11" s="13" t="n">
        <v>1.5</v>
      </c>
      <c r="F11" s="7" t="inlineStr">
        <is>
          <t>可调</t>
        </is>
      </c>
    </row>
    <row r="12">
      <c r="A12" s="7" t="n">
        <v>3</v>
      </c>
      <c r="B12" s="11" t="inlineStr">
        <is>
          <t>目标毛利率</t>
        </is>
      </c>
      <c r="C12" s="7" t="inlineStr">
        <is>
          <t>%</t>
        </is>
      </c>
      <c r="D12" s="12" t="n">
        <v>3</v>
      </c>
      <c r="E12" s="13" t="n">
        <v>3</v>
      </c>
      <c r="F12" s="7" t="inlineStr">
        <is>
          <t>可调</t>
        </is>
      </c>
    </row>
    <row r="13">
      <c r="A13" s="7" t="n">
        <v>4</v>
      </c>
      <c r="B13" s="11" t="inlineStr">
        <is>
          <t>服务收入占比目标</t>
        </is>
      </c>
      <c r="C13" s="7" t="inlineStr">
        <is>
          <t>%</t>
        </is>
      </c>
      <c r="D13" s="12" t="n">
        <v>25</v>
      </c>
      <c r="E13" s="13" t="n">
        <v>25</v>
      </c>
      <c r="F13" s="7" t="inlineStr">
        <is>
          <t>可调</t>
        </is>
      </c>
    </row>
    <row r="14">
      <c r="A14" s="7" t="n">
        <v>5</v>
      </c>
      <c r="B14" s="11" t="inlineStr">
        <is>
          <t>客户流失率（前）</t>
        </is>
      </c>
      <c r="C14" s="7" t="inlineStr">
        <is>
          <t>%</t>
        </is>
      </c>
      <c r="D14" s="12" t="n">
        <v>18</v>
      </c>
      <c r="E14" s="13" t="n">
        <v>18</v>
      </c>
      <c r="F14" s="7" t="inlineStr">
        <is>
          <t>可调</t>
        </is>
      </c>
    </row>
    <row r="15">
      <c r="A15" s="7" t="n">
        <v>6</v>
      </c>
      <c r="B15" s="11" t="inlineStr">
        <is>
          <t>客户流失率（后）</t>
        </is>
      </c>
      <c r="C15" s="7" t="inlineStr">
        <is>
          <t>%</t>
        </is>
      </c>
      <c r="D15" s="12" t="n">
        <v>5</v>
      </c>
      <c r="E15" s="13" t="n">
        <v>5</v>
      </c>
      <c r="F15" s="7" t="inlineStr">
        <is>
          <t>可调</t>
        </is>
      </c>
    </row>
    <row r="16">
      <c r="A16" s="7" t="n">
        <v>7</v>
      </c>
      <c r="B16" s="11" t="inlineStr">
        <is>
          <t>信用数据外卖年收入（万元）</t>
        </is>
      </c>
      <c r="C16" s="7" t="inlineStr">
        <is>
          <t>万元</t>
        </is>
      </c>
      <c r="D16" s="12" t="n">
        <v>100</v>
      </c>
      <c r="E16" s="13" t="n">
        <v>100</v>
      </c>
      <c r="F16" s="7" t="inlineStr">
        <is>
          <t>可调</t>
        </is>
      </c>
    </row>
    <row r="18" ht="30" customHeight="1">
      <c r="A18" s="3" t="inlineStr">
        <is>
          <t>3. 投入（默认值 / 可调）</t>
        </is>
      </c>
    </row>
    <row r="19">
      <c r="A19" s="2" t="inlineStr">
        <is>
          <t>#</t>
        </is>
      </c>
      <c r="B19" s="2" t="inlineStr">
        <is>
          <t>投入项</t>
        </is>
      </c>
      <c r="C19" s="2" t="inlineStr"/>
      <c r="D19" s="2" t="inlineStr">
        <is>
          <t>年费（万元）</t>
        </is>
      </c>
      <c r="E19" s="2" t="inlineStr">
        <is>
          <t>客户实际值</t>
        </is>
      </c>
      <c r="F19" s="2" t="inlineStr">
        <is>
          <t>备注</t>
        </is>
      </c>
    </row>
    <row r="20">
      <c r="A20" s="7" t="n">
        <v>1</v>
      </c>
      <c r="B20" s="11" t="inlineStr">
        <is>
          <t>战略咨询 + 服务化设计</t>
        </is>
      </c>
      <c r="D20" s="12" t="n">
        <v>30</v>
      </c>
      <c r="E20" s="13" t="n">
        <v>30</v>
      </c>
      <c r="F20" s="7" t="inlineStr">
        <is>
          <t>可调</t>
        </is>
      </c>
    </row>
    <row r="21">
      <c r="A21" s="7" t="n">
        <v>2</v>
      </c>
      <c r="B21" s="11" t="inlineStr">
        <is>
          <t>数字化全套</t>
        </is>
      </c>
      <c r="D21" s="12" t="n">
        <v>50</v>
      </c>
      <c r="E21" s="13" t="n">
        <v>50</v>
      </c>
      <c r="F21" s="7" t="inlineStr">
        <is>
          <t>可调</t>
        </is>
      </c>
    </row>
    <row r="22">
      <c r="A22" s="7" t="n">
        <v>3</v>
      </c>
      <c r="B22" s="11" t="inlineStr">
        <is>
          <t>信用数据接入银行</t>
        </is>
      </c>
      <c r="D22" s="12" t="n">
        <v>10</v>
      </c>
      <c r="E22" s="13" t="n">
        <v>10</v>
      </c>
      <c r="F22" s="7" t="inlineStr">
        <is>
          <t>可调</t>
        </is>
      </c>
    </row>
    <row r="23">
      <c r="B23" s="14" t="inlineStr">
        <is>
          <t>合计年投入（万元）</t>
        </is>
      </c>
      <c r="D23" s="15">
        <f>SUM(D20:D22)</f>
        <v/>
      </c>
      <c r="E23" s="14">
        <f>SUM(E20:E22)</f>
        <v/>
      </c>
      <c r="F23" s="7" t="inlineStr">
        <is>
          <t>自动</t>
        </is>
      </c>
    </row>
    <row r="25" ht="30" customHeight="1">
      <c r="A25" s="3" t="inlineStr">
        <is>
          <t>4. 收益自动计算（基于客户实际值）</t>
        </is>
      </c>
    </row>
    <row r="26">
      <c r="A26" s="2" t="inlineStr">
        <is>
          <t>#</t>
        </is>
      </c>
      <c r="B26" s="2" t="inlineStr">
        <is>
          <t>收益项</t>
        </is>
      </c>
      <c r="C26" s="2" t="inlineStr"/>
      <c r="D26" s="2" t="inlineStr">
        <is>
          <t>公式说明</t>
        </is>
      </c>
      <c r="E26" s="2" t="inlineStr">
        <is>
          <t>金额（万元）</t>
        </is>
      </c>
      <c r="F26" s="2" t="inlineStr">
        <is>
          <t>类型</t>
        </is>
      </c>
    </row>
    <row r="27">
      <c r="A27" s="7" t="n">
        <v>1</v>
      </c>
      <c r="B27" s="11" t="inlineStr">
        <is>
          <t>毛利率提升带来年增利润</t>
        </is>
      </c>
      <c r="D27" s="7" t="inlineStr">
        <is>
          <t>见公式</t>
        </is>
      </c>
      <c r="E27" s="16">
        <f>E7*(E9-E8)/100</f>
        <v/>
      </c>
      <c r="F27" s="7" t="inlineStr">
        <is>
          <t>自动</t>
        </is>
      </c>
    </row>
    <row r="28">
      <c r="A28" s="7" t="n">
        <v>2</v>
      </c>
      <c r="B28" s="11" t="inlineStr">
        <is>
          <t>服务收入</t>
        </is>
      </c>
      <c r="D28" s="7" t="inlineStr">
        <is>
          <t>见公式</t>
        </is>
      </c>
      <c r="E28" s="16">
        <f>E7*E10/100*0.2</f>
        <v/>
      </c>
      <c r="F28" s="7" t="inlineStr">
        <is>
          <t>自动</t>
        </is>
      </c>
    </row>
    <row r="29">
      <c r="A29" s="7" t="n">
        <v>3</v>
      </c>
      <c r="B29" s="11" t="inlineStr">
        <is>
          <t>客户流失下降收益</t>
        </is>
      </c>
      <c r="D29" s="7" t="inlineStr">
        <is>
          <t>见公式</t>
        </is>
      </c>
      <c r="E29" s="16">
        <f>E7*(E11-E12)/100*E8/100</f>
        <v/>
      </c>
      <c r="F29" s="7" t="inlineStr">
        <is>
          <t>自动</t>
        </is>
      </c>
    </row>
    <row r="30">
      <c r="A30" s="7" t="n">
        <v>4</v>
      </c>
      <c r="B30" s="11" t="inlineStr">
        <is>
          <t>信用数据外卖收入</t>
        </is>
      </c>
      <c r="D30" s="7" t="inlineStr">
        <is>
          <t>见公式</t>
        </is>
      </c>
      <c r="E30" s="16">
        <f>E13</f>
        <v/>
      </c>
      <c r="F30" s="7" t="inlineStr">
        <is>
          <t>自动</t>
        </is>
      </c>
    </row>
    <row r="31">
      <c r="B31" s="17" t="inlineStr">
        <is>
          <t>合计年收益（万元）</t>
        </is>
      </c>
      <c r="D31" s="7" t="inlineStr">
        <is>
          <t>加总</t>
        </is>
      </c>
      <c r="E31" s="17">
        <f>SUM(E27:E30)</f>
        <v/>
      </c>
    </row>
    <row r="33" ht="30" customHeight="1">
      <c r="A33" s="3" t="inlineStr">
        <is>
          <t>5. ROI 输出</t>
        </is>
      </c>
    </row>
    <row r="34">
      <c r="B34" s="18" t="inlineStr">
        <is>
          <t>年投入（万元）</t>
        </is>
      </c>
      <c r="E34" s="13">
        <f>E23</f>
        <v/>
      </c>
      <c r="F34" s="7" t="inlineStr">
        <is>
          <t>自动</t>
        </is>
      </c>
    </row>
    <row r="35">
      <c r="B35" s="18" t="inlineStr">
        <is>
          <t>年收益（万元）</t>
        </is>
      </c>
      <c r="E35" s="13">
        <f>E31</f>
        <v/>
      </c>
      <c r="F35" s="7" t="inlineStr">
        <is>
          <t>自动</t>
        </is>
      </c>
    </row>
    <row r="36">
      <c r="B36" s="18" t="inlineStr">
        <is>
          <t>年净收益（万元）</t>
        </is>
      </c>
      <c r="E36" s="13">
        <f>E31-E23</f>
        <v/>
      </c>
      <c r="F36" s="7" t="inlineStr">
        <is>
          <t>自动</t>
        </is>
      </c>
    </row>
    <row r="37">
      <c r="B37" s="18" t="inlineStr">
        <is>
          <t>3 年累计净收益（万元）</t>
        </is>
      </c>
      <c r="E37" s="13">
        <f>(E31-E23)*3</f>
        <v/>
      </c>
      <c r="F37" s="7" t="inlineStr">
        <is>
          <t>自动</t>
        </is>
      </c>
    </row>
    <row r="38">
      <c r="B38" s="18" t="inlineStr">
        <is>
          <t>ROI（倍数）</t>
        </is>
      </c>
      <c r="E38" s="13">
        <f>IFERROR(E31/E23,0)</f>
        <v/>
      </c>
      <c r="F38" s="7" t="inlineStr">
        <is>
          <t>自动</t>
        </is>
      </c>
    </row>
    <row r="39">
      <c r="B39" s="18" t="inlineStr">
        <is>
          <t>回本周期（月）</t>
        </is>
      </c>
      <c r="E39" s="13">
        <f>IFERROR(E23/E31*12,0)</f>
        <v/>
      </c>
      <c r="F39" s="7" t="inlineStr">
        <is>
          <t>自动</t>
        </is>
      </c>
    </row>
    <row r="41" ht="30" customHeight="1">
      <c r="A41" s="2" t="inlineStr">
        <is>
          <t>6. 公式说明</t>
        </is>
      </c>
    </row>
    <row r="42" ht="20" customHeight="1">
      <c r="A42" s="10" t="inlineStr">
        <is>
          <t>毛利率提升带来年增利润 = 年流水 × (目标 - 当前) / 100</t>
        </is>
      </c>
    </row>
    <row r="43" ht="20" customHeight="1">
      <c r="A43" s="10" t="inlineStr">
        <is>
          <t>服务收入 = 年流水 × 服务占比 × 20%（毛利率）</t>
        </is>
      </c>
    </row>
    <row r="44" ht="20" customHeight="1">
      <c r="A44" s="10" t="inlineStr">
        <is>
          <t>客户流失下降 = 年流水 × 流失率差 × 当前毛利</t>
        </is>
      </c>
    </row>
    <row r="45" ht="20" customHeight="1">
      <c r="A45" s="10" t="inlineStr">
        <is>
          <t>信用数据外卖 = 与银行合作的年订阅收入</t>
        </is>
      </c>
    </row>
    <row r="46" ht="20" customHeight="1">
      <c r="A46" s="10" t="inlineStr">
        <is>
          <t>案例：上海 X 总 毛利 1.5%→3% / 服务收入 0→25% / 24 月转型</t>
        </is>
      </c>
    </row>
  </sheetData>
  <mergeCells count="30">
    <mergeCell ref="A41:F41"/>
    <mergeCell ref="A46:F46"/>
    <mergeCell ref="B22:C22"/>
    <mergeCell ref="A18:F18"/>
    <mergeCell ref="B31:C31"/>
    <mergeCell ref="B27:C27"/>
    <mergeCell ref="B38:D38"/>
    <mergeCell ref="B34:D34"/>
    <mergeCell ref="A2:F2"/>
    <mergeCell ref="A33:F33"/>
    <mergeCell ref="B21:C21"/>
    <mergeCell ref="B37:D37"/>
    <mergeCell ref="A42:F42"/>
    <mergeCell ref="A5:F5"/>
    <mergeCell ref="A8:F8"/>
    <mergeCell ref="B23:C23"/>
    <mergeCell ref="A4:F4"/>
    <mergeCell ref="A43:F43"/>
    <mergeCell ref="B36:D36"/>
    <mergeCell ref="B29:C29"/>
    <mergeCell ref="A44:F44"/>
    <mergeCell ref="B35:D35"/>
    <mergeCell ref="B28:C28"/>
    <mergeCell ref="B30:C30"/>
    <mergeCell ref="A1:F1"/>
    <mergeCell ref="B20:C20"/>
    <mergeCell ref="A45:F45"/>
    <mergeCell ref="A6:F6"/>
    <mergeCell ref="B39:D39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6" customWidth="1" min="8" max="8"/>
  </cols>
  <sheetData>
    <row r="1" ht="30" customHeight="1">
      <c r="A1" s="1" t="inlineStr">
        <is>
          <t>7 大场景 ROI 汇总（自动从各 Tab 取数）</t>
        </is>
      </c>
    </row>
    <row r="2" ht="30" customHeight="1">
      <c r="A2" s="2" t="inlineStr">
        <is>
          <t>客户红区在哪，优先推荐哪个场景（按 ROI 排序）</t>
        </is>
      </c>
    </row>
    <row r="4">
      <c r="A4" s="1" t="inlineStr">
        <is>
          <t>#</t>
        </is>
      </c>
      <c r="B4" s="1" t="inlineStr">
        <is>
          <t>模块</t>
        </is>
      </c>
      <c r="C4" s="1" t="inlineStr">
        <is>
          <t>场景</t>
        </is>
      </c>
      <c r="D4" s="1" t="inlineStr">
        <is>
          <t>故事主角</t>
        </is>
      </c>
      <c r="E4" s="1" t="inlineStr">
        <is>
          <t>年投入（万）</t>
        </is>
      </c>
      <c r="F4" s="1" t="inlineStr">
        <is>
          <t>年收益（万）</t>
        </is>
      </c>
      <c r="G4" s="1" t="inlineStr">
        <is>
          <t>ROI（倍）</t>
        </is>
      </c>
      <c r="H4" s="1" t="inlineStr">
        <is>
          <t>回本（月）</t>
        </is>
      </c>
    </row>
    <row r="5">
      <c r="A5" s="7" t="n">
        <v>1</v>
      </c>
      <c r="B5" s="7" t="inlineStr">
        <is>
          <t>M1</t>
        </is>
      </c>
      <c r="C5" s="7" t="inlineStr">
        <is>
          <t>财务健康度</t>
        </is>
      </c>
      <c r="D5" s="7" t="inlineStr">
        <is>
          <t>山东 XX 钢管 王总</t>
        </is>
      </c>
      <c r="E5" s="7" t="inlineStr">
        <is>
          <t>见 [M1 财务] 表</t>
        </is>
      </c>
      <c r="F5" s="7" t="inlineStr">
        <is>
          <t>见 [M1 财务] 表</t>
        </is>
      </c>
      <c r="G5" s="7" t="inlineStr">
        <is>
          <t>见 [M1 财务] 表</t>
        </is>
      </c>
      <c r="H5" s="7" t="inlineStr">
        <is>
          <t>见 [M1 财务] 表</t>
        </is>
      </c>
    </row>
    <row r="6">
      <c r="A6" s="12" t="n">
        <v>2</v>
      </c>
      <c r="B6" s="12" t="inlineStr">
        <is>
          <t>M2</t>
        </is>
      </c>
      <c r="C6" s="12" t="inlineStr">
        <is>
          <t>客户管理</t>
        </is>
      </c>
      <c r="D6" s="12" t="inlineStr">
        <is>
          <t>广东 XX 钢贸 陈总</t>
        </is>
      </c>
      <c r="E6" s="12" t="inlineStr">
        <is>
          <t>见 [M2 客户] 表</t>
        </is>
      </c>
      <c r="F6" s="12" t="inlineStr">
        <is>
          <t>见 [M2 客户] 表</t>
        </is>
      </c>
      <c r="G6" s="12" t="inlineStr">
        <is>
          <t>见 [M2 客户] 表</t>
        </is>
      </c>
      <c r="H6" s="12" t="inlineStr">
        <is>
          <t>见 [M2 客户] 表</t>
        </is>
      </c>
    </row>
    <row r="7">
      <c r="A7" s="7" t="n">
        <v>3</v>
      </c>
      <c r="B7" s="7" t="inlineStr">
        <is>
          <t>M3</t>
        </is>
      </c>
      <c r="C7" s="7" t="inlineStr">
        <is>
          <t>数字化能力</t>
        </is>
      </c>
      <c r="D7" s="7" t="inlineStr">
        <is>
          <t>江苏 XX 焊管 周总</t>
        </is>
      </c>
      <c r="E7" s="7" t="inlineStr">
        <is>
          <t>见 [M3 数字化] 表</t>
        </is>
      </c>
      <c r="F7" s="7" t="inlineStr">
        <is>
          <t>见 [M3 数字化] 表</t>
        </is>
      </c>
      <c r="G7" s="7" t="inlineStr">
        <is>
          <t>见 [M3 数字化] 表</t>
        </is>
      </c>
      <c r="H7" s="7" t="inlineStr">
        <is>
          <t>见 [M3 数字化] 表</t>
        </is>
      </c>
    </row>
    <row r="8">
      <c r="A8" s="12" t="n">
        <v>4</v>
      </c>
      <c r="B8" s="12" t="inlineStr">
        <is>
          <t>M4</t>
        </is>
      </c>
      <c r="C8" s="12" t="inlineStr">
        <is>
          <t>风险控制 ★</t>
        </is>
      </c>
      <c r="D8" s="12" t="inlineStr">
        <is>
          <t>江苏 XX 钢贸 赵总</t>
        </is>
      </c>
      <c r="E8" s="12" t="inlineStr">
        <is>
          <t>见 [M4 风控] 表</t>
        </is>
      </c>
      <c r="F8" s="12" t="inlineStr">
        <is>
          <t>见 [M4 风控] 表</t>
        </is>
      </c>
      <c r="G8" s="12" t="inlineStr">
        <is>
          <t>见 [M4 风控] 表</t>
        </is>
      </c>
      <c r="H8" s="12" t="inlineStr">
        <is>
          <t>见 [M4 风控] 表</t>
        </is>
      </c>
    </row>
    <row r="9">
      <c r="A9" s="7" t="n">
        <v>5</v>
      </c>
      <c r="B9" s="7" t="inlineStr">
        <is>
          <t>M5</t>
        </is>
      </c>
      <c r="C9" s="7" t="inlineStr">
        <is>
          <t>增长能力</t>
        </is>
      </c>
      <c r="D9" s="7" t="inlineStr">
        <is>
          <t>浙江 XX 钢贸 钱总</t>
        </is>
      </c>
      <c r="E9" s="7" t="inlineStr">
        <is>
          <t>见 [M5 增长] 表</t>
        </is>
      </c>
      <c r="F9" s="7" t="inlineStr">
        <is>
          <t>见 [M5 增长] 表</t>
        </is>
      </c>
      <c r="G9" s="7" t="inlineStr">
        <is>
          <t>见 [M5 增长] 表</t>
        </is>
      </c>
      <c r="H9" s="7" t="inlineStr">
        <is>
          <t>见 [M5 增长] 表</t>
        </is>
      </c>
    </row>
    <row r="10">
      <c r="A10" s="12" t="n">
        <v>6</v>
      </c>
      <c r="B10" s="12" t="inlineStr">
        <is>
          <t>M6</t>
        </is>
      </c>
      <c r="C10" s="12" t="inlineStr">
        <is>
          <t>团队 + 接班 ★</t>
        </is>
      </c>
      <c r="D10" s="12" t="inlineStr">
        <is>
          <t>江苏 XX 镀锌 周总</t>
        </is>
      </c>
      <c r="E10" s="12" t="inlineStr">
        <is>
          <t>见 [M6 团队] 表</t>
        </is>
      </c>
      <c r="F10" s="12" t="inlineStr">
        <is>
          <t>见 [M6 团队] 表</t>
        </is>
      </c>
      <c r="G10" s="12" t="inlineStr">
        <is>
          <t>见 [M6 团队] 表</t>
        </is>
      </c>
      <c r="H10" s="12" t="inlineStr">
        <is>
          <t>见 [M6 团队] 表</t>
        </is>
      </c>
    </row>
    <row r="11">
      <c r="A11" s="7" t="n">
        <v>7</v>
      </c>
      <c r="B11" s="7" t="inlineStr">
        <is>
          <t>M7</t>
        </is>
      </c>
      <c r="C11" s="7" t="inlineStr">
        <is>
          <t>战略前瞻</t>
        </is>
      </c>
      <c r="D11" s="7" t="inlineStr">
        <is>
          <t>上海 XX 钢贸 X 总</t>
        </is>
      </c>
      <c r="E11" s="7" t="inlineStr">
        <is>
          <t>见 [M7 战略] 表</t>
        </is>
      </c>
      <c r="F11" s="7" t="inlineStr">
        <is>
          <t>见 [M7 战略] 表</t>
        </is>
      </c>
      <c r="G11" s="7" t="inlineStr">
        <is>
          <t>见 [M7 战略] 表</t>
        </is>
      </c>
      <c r="H11" s="7" t="inlineStr">
        <is>
          <t>见 [M7 战略] 表</t>
        </is>
      </c>
    </row>
    <row r="14" ht="30" customHeight="1">
      <c r="A14" s="3" t="inlineStr">
        <is>
          <t>销售推荐顺序（默认值预填后的 ROI 排序）</t>
        </is>
      </c>
    </row>
    <row r="15" ht="22" customHeight="1">
      <c r="A15" s="19" t="inlineStr">
        <is>
          <t>1. M4 风控 → ROI 通常 &gt; 10 倍 / 1-3 月回本 ★ 销售首选</t>
        </is>
      </c>
    </row>
    <row r="16" ht="22" customHeight="1">
      <c r="A16" s="19" t="inlineStr">
        <is>
          <t>2. M6 接班 → 估值 +¥1 亿（适合 ¥3 亿+ 客户）★ 大单首选</t>
        </is>
      </c>
    </row>
    <row r="17" ht="22" customHeight="1">
      <c r="A17" s="19" t="inlineStr">
        <is>
          <t>3. M1 财务 → ROI 5-8 倍 / 5-8 月回本</t>
        </is>
      </c>
    </row>
    <row r="18" ht="22" customHeight="1">
      <c r="A18" s="19" t="inlineStr">
        <is>
          <t>4. M2 客户 → ROI 4-6 倍 / 6-9 月回本</t>
        </is>
      </c>
    </row>
    <row r="19" ht="22" customHeight="1">
      <c r="A19" s="19" t="inlineStr">
        <is>
          <t>5. M5 增长 → ROI 4-7 倍 / 5-8 月回本</t>
        </is>
      </c>
    </row>
    <row r="20" ht="22" customHeight="1">
      <c r="A20" s="19" t="inlineStr">
        <is>
          <t>6. M3 数字化 → ROI 3-5 倍 / 8-12 月回本（适合出口客户）</t>
        </is>
      </c>
    </row>
    <row r="21" ht="22" customHeight="1">
      <c r="A21" s="19" t="inlineStr">
        <is>
          <t>7. M7 战略 → 长期 / 战略级（适合 ¥5 亿+ 头部客户）</t>
        </is>
      </c>
    </row>
  </sheetData>
  <mergeCells count="10">
    <mergeCell ref="A18:H18"/>
    <mergeCell ref="A21:H21"/>
    <mergeCell ref="A15:H15"/>
    <mergeCell ref="A20:H20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2026-06-14T13:20:34Z</dcterms:created>
  <dcterms:modified xsi:type="dcterms:W3CDTF">2026-06-14T13:20:34Z</dcterms:modified>
</cp:coreProperties>
</file>