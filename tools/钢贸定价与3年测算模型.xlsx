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6大产品价格表" sheetId="2" state="visible" r:id="rId2"/>
    <sheet name="5层客户分层" sheetId="3" state="visible" r:id="rId3"/>
    <sheet name="ARPU配置器" sheetId="4" state="visible" r:id="rId4"/>
    <sheet name="Y3客户金字塔" sheetId="5" state="visible" r:id="rId5"/>
    <sheet name="3年营收预测" sheetId="6" state="visible" r:id="rId6"/>
    <sheet name="信用数据服务" sheetId="7" state="visible" r:id="rId7"/>
    <sheet name="估值与融资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¥&quot;#,##0"/>
    <numFmt numFmtId="165" formatCode="0.0&quot;万&quot;"/>
    <numFmt numFmtId="166" formatCode="0&quot;万&quot;"/>
  </numFmts>
  <fonts count="9">
    <font>
      <name val="Calibri"/>
      <family val="2"/>
      <color theme="1"/>
      <sz val="11"/>
      <scheme val="minor"/>
    </font>
    <font>
      <name val="Microsoft YaHei"/>
      <b val="1"/>
      <color rgb="001F4E79"/>
      <sz val="16"/>
    </font>
    <font>
      <name val="Microsoft YaHei"/>
      <b val="1"/>
      <sz val="10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FFFFFF"/>
      <sz val="10"/>
    </font>
    <font>
      <name val="Microsoft YaHei"/>
      <b val="1"/>
      <sz val="12"/>
    </font>
    <font>
      <name val="Microsoft YaHei"/>
      <color rgb="00595959"/>
      <sz val="10"/>
    </font>
    <font>
      <name val="Microsoft YaHei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164" fontId="3" fillId="2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4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center" vertical="center" wrapText="1"/>
    </xf>
    <xf numFmtId="10" fontId="2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164" fontId="2" fillId="4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164" fontId="8" fillId="2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66" fontId="2" fillId="5" borderId="1" applyAlignment="1" pivotButton="0" quotePrefix="0" xfId="0">
      <alignment horizontal="center" vertical="center" wrapText="1"/>
    </xf>
    <xf numFmtId="166" fontId="8" fillId="2" borderId="1" applyAlignment="1" pivotButton="0" quotePrefix="0" xfId="0">
      <alignment horizontal="center" vertical="center" wrapText="1"/>
    </xf>
    <xf numFmtId="166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8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70" customWidth="1" min="3" max="3"/>
  </cols>
  <sheetData>
    <row r="2">
      <c r="B2" s="1" t="inlineStr">
        <is>
          <t>钢贸定价与 3 年测算模型 v2.0</t>
        </is>
      </c>
    </row>
    <row r="4" ht="50" customHeight="1">
      <c r="B4" s="2" t="inlineStr">
        <is>
          <t>适用对象</t>
        </is>
      </c>
      <c r="C4" s="3" t="inlineStr">
        <is>
          <t>老板 + 产品 + 销售 + 财务</t>
        </is>
      </c>
    </row>
    <row r="5" ht="103.2" customHeight="1">
      <c r="B5" s="2" t="inlineStr">
        <is>
          <t>使用步骤</t>
        </is>
      </c>
      <c r="C5" s="3" t="inlineStr">
        <is>
          <t>① 打开『6 大产品价格表』看你的全产品价格
② 切换『5 层客户分层』看不同客户的付费上限
③ 用『ARPU 配置器』给特定客户配套餐 → 自动出 ARPU + 是否超红线
④ 切换『Y3 客户金字塔』输入总客户数 → 自动算各层数量 + 总营收
⑤ 切换『3 年营收预测』看完整 36 月预测
⑥ 信用数据 + 估值 / 融资页给老板做决策</t>
        </is>
      </c>
    </row>
    <row r="6" ht="69" customHeight="1">
      <c r="B6" s="2" t="inlineStr">
        <is>
          <t>核心规则</t>
        </is>
      </c>
      <c r="C6" s="3" t="inlineStr">
        <is>
          <t>1. 钢贸商年付费红线 = 流水的 0.05-0.1%
2. 中型客户（流水 ¥1-3 亿）是主力，目标 ARPU ¥9,100/月
3. 80% 客户应落在「金卡」档位
4. 信用数据对外销售（银行/保理/大买家）才是高利润核心</t>
        </is>
      </c>
    </row>
    <row r="7" ht="50" customHeight="1">
      <c r="B7" s="2" t="inlineStr">
        <is>
          <t>修改边界</t>
        </is>
      </c>
      <c r="C7" s="3" t="inlineStr">
        <is>
          <t>只改黄色单元格；公式和表头不要动</t>
        </is>
      </c>
    </row>
    <row r="8" ht="50" customHeight="1">
      <c r="B8" s="2" t="inlineStr">
        <is>
          <t>注意</t>
        </is>
      </c>
      <c r="C8" s="3" t="inlineStr">
        <is>
          <t>1. 数字基于行业基准 + 你 6 产品矩阵估算，不是承诺
2. 实际偏差 ±30-50% 属正常
3. 必须每月用真实数据替换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36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4" customWidth="1" min="4" max="4"/>
    <col width="14" customWidth="1" min="5" max="5"/>
    <col width="30" customWidth="1" min="6" max="6"/>
  </cols>
  <sheetData>
    <row r="2">
      <c r="B2" s="1" t="inlineStr">
        <is>
          <t>6 大产品价格表（黄色 = 可调）</t>
        </is>
      </c>
    </row>
    <row r="4">
      <c r="B4" s="2" t="inlineStr">
        <is>
          <t>产品</t>
        </is>
      </c>
      <c r="C4" s="2" t="inlineStr">
        <is>
          <t>档位</t>
        </is>
      </c>
      <c r="D4" s="2" t="inlineStr">
        <is>
          <t>实施费(¥)</t>
        </is>
      </c>
      <c r="E4" s="2" t="inlineStr">
        <is>
          <t>月费(¥)</t>
        </is>
      </c>
      <c r="F4" s="2" t="inlineStr">
        <is>
          <t>权益说明</t>
        </is>
      </c>
    </row>
    <row r="5">
      <c r="B5" s="4" t="inlineStr">
        <is>
          <t>ERP/WMS 底座</t>
        </is>
      </c>
      <c r="C5" s="5" t="inlineStr">
        <is>
          <t>标准版</t>
        </is>
      </c>
      <c r="D5" s="6" t="n">
        <v>4800</v>
      </c>
      <c r="E5" s="6" t="n">
        <v>1800</v>
      </c>
      <c r="F5" s="7" t="inlineStr">
        <is>
          <t>CRM+基础库存+财务，≤5 用户</t>
        </is>
      </c>
    </row>
    <row r="6">
      <c r="B6" s="8" t="inlineStr">
        <is>
          <t>ERP/WMS 底座</t>
        </is>
      </c>
      <c r="C6" s="9" t="inlineStr">
        <is>
          <t>经营版★</t>
        </is>
      </c>
      <c r="D6" s="6" t="n">
        <v>9800</v>
      </c>
      <c r="E6" s="6" t="n">
        <v>3000</v>
      </c>
      <c r="F6" s="10" t="inlineStr">
        <is>
          <t>+多仓 WMS+应收风控+多门店，≤15 用户</t>
        </is>
      </c>
    </row>
    <row r="7">
      <c r="B7" s="4" t="inlineStr">
        <is>
          <t>ERP/WMS 底座</t>
        </is>
      </c>
      <c r="C7" s="5" t="inlineStr">
        <is>
          <t>旗舰版</t>
        </is>
      </c>
      <c r="D7" s="6" t="n">
        <v>18000</v>
      </c>
      <c r="E7" s="6" t="n">
        <v>6800</v>
      </c>
      <c r="F7" s="7" t="inlineStr">
        <is>
          <t>+BI+API+集团合并，不限用户</t>
        </is>
      </c>
    </row>
    <row r="8">
      <c r="B8" s="11" t="inlineStr">
        <is>
          <t>现货大厅</t>
        </is>
      </c>
      <c r="C8" s="12" t="inlineStr">
        <is>
          <t>普通会员</t>
        </is>
      </c>
      <c r="D8" s="6" t="n">
        <v>0</v>
      </c>
      <c r="E8" s="6" t="n">
        <v>0</v>
      </c>
      <c r="F8" s="13" t="inlineStr">
        <is>
          <t>基础位+5 SKU</t>
        </is>
      </c>
    </row>
    <row r="9">
      <c r="B9" s="4" t="inlineStr">
        <is>
          <t>现货大厅</t>
        </is>
      </c>
      <c r="C9" s="5" t="inlineStr">
        <is>
          <t>银卡会员</t>
        </is>
      </c>
      <c r="D9" s="6" t="n">
        <v>0</v>
      </c>
      <c r="E9" s="6" t="n">
        <v>500</v>
      </c>
      <c r="F9" s="7" t="inlineStr">
        <is>
          <t>50 SKU+前 50% 排序</t>
        </is>
      </c>
    </row>
    <row r="10">
      <c r="B10" s="8" t="inlineStr">
        <is>
          <t>现货大厅</t>
        </is>
      </c>
      <c r="C10" s="9" t="inlineStr">
        <is>
          <t>金卡会员★</t>
        </is>
      </c>
      <c r="D10" s="6" t="n">
        <v>0</v>
      </c>
      <c r="E10" s="6" t="n">
        <v>1500</v>
      </c>
      <c r="F10" s="10" t="inlineStr">
        <is>
          <t>不限 SKU+前 30% 排序+优先推送+数据看板</t>
        </is>
      </c>
    </row>
    <row r="11">
      <c r="B11" s="4" t="inlineStr">
        <is>
          <t>现货大厅</t>
        </is>
      </c>
      <c r="C11" s="5" t="inlineStr">
        <is>
          <t>钻卡会员</t>
        </is>
      </c>
      <c r="D11" s="6" t="n">
        <v>0</v>
      </c>
      <c r="E11" s="6" t="n">
        <v>4800</v>
      </c>
      <c r="F11" s="7" t="inlineStr">
        <is>
          <t>+首页 banner+城市置顶+专属客服</t>
        </is>
      </c>
    </row>
    <row r="12">
      <c r="B12" s="11" t="inlineStr">
        <is>
          <t>AI 询价</t>
        </is>
      </c>
      <c r="C12" s="12" t="inlineStr">
        <is>
          <t>基础（含底座）</t>
        </is>
      </c>
      <c r="D12" s="6" t="n">
        <v>0</v>
      </c>
      <c r="E12" s="6" t="n">
        <v>0</v>
      </c>
      <c r="F12" s="13" t="inlineStr">
        <is>
          <t>≤50 次/月</t>
        </is>
      </c>
    </row>
    <row r="13">
      <c r="B13" s="4" t="inlineStr">
        <is>
          <t>AI 询价</t>
        </is>
      </c>
      <c r="C13" s="5" t="inlineStr">
        <is>
          <t>升级版</t>
        </is>
      </c>
      <c r="D13" s="6" t="n">
        <v>0</v>
      </c>
      <c r="E13" s="6" t="n">
        <v>200</v>
      </c>
      <c r="F13" s="7" t="inlineStr">
        <is>
          <t>/用户/月，不限+AI 分类+派单+对比</t>
        </is>
      </c>
    </row>
    <row r="14">
      <c r="B14" s="11" t="inlineStr">
        <is>
          <t>报价工作台</t>
        </is>
      </c>
      <c r="C14" s="12" t="inlineStr">
        <is>
          <t>基础（含底座）</t>
        </is>
      </c>
      <c r="D14" s="6" t="n">
        <v>0</v>
      </c>
      <c r="E14" s="6" t="n">
        <v>0</v>
      </c>
      <c r="F14" s="13" t="inlineStr">
        <is>
          <t>手动+1 模板</t>
        </is>
      </c>
    </row>
    <row r="15">
      <c r="B15" s="8" t="inlineStr">
        <is>
          <t>报价工作台</t>
        </is>
      </c>
      <c r="C15" s="9" t="inlineStr">
        <is>
          <t>专业版★</t>
        </is>
      </c>
      <c r="D15" s="6" t="n">
        <v>0</v>
      </c>
      <c r="E15" s="6" t="n">
        <v>300</v>
      </c>
      <c r="F15" s="10" t="inlineStr">
        <is>
          <t>/用户/月，自动算价+多模板+一键发</t>
        </is>
      </c>
    </row>
    <row r="16">
      <c r="B16" s="11" t="inlineStr">
        <is>
          <t>报价工作台</t>
        </is>
      </c>
      <c r="C16" s="12" t="inlineStr">
        <is>
          <t>团队版</t>
        </is>
      </c>
      <c r="D16" s="6" t="n">
        <v>0</v>
      </c>
      <c r="E16" s="6" t="n">
        <v>800</v>
      </c>
      <c r="F16" s="13" t="inlineStr">
        <is>
          <t>/用户/月，+协作+审批+防跑单</t>
        </is>
      </c>
    </row>
    <row r="17">
      <c r="B17" s="4" t="inlineStr">
        <is>
          <t>提货通</t>
        </is>
      </c>
      <c r="C17" s="5" t="inlineStr">
        <is>
          <t>入门包</t>
        </is>
      </c>
      <c r="D17" s="6" t="n">
        <v>0</v>
      </c>
      <c r="E17" s="6" t="n">
        <v>500</v>
      </c>
      <c r="F17" s="7" t="inlineStr">
        <is>
          <t>100 单/月，超量 ¥3/单</t>
        </is>
      </c>
    </row>
    <row r="18">
      <c r="B18" s="8" t="inlineStr">
        <is>
          <t>提货通</t>
        </is>
      </c>
      <c r="C18" s="9" t="inlineStr">
        <is>
          <t>标准包★</t>
        </is>
      </c>
      <c r="D18" s="6" t="n">
        <v>0</v>
      </c>
      <c r="E18" s="6" t="n">
        <v>1500</v>
      </c>
      <c r="F18" s="10" t="inlineStr">
        <is>
          <t>500 单/月，超量 ¥2/单</t>
        </is>
      </c>
    </row>
    <row r="19">
      <c r="B19" s="4" t="inlineStr">
        <is>
          <t>提货通</t>
        </is>
      </c>
      <c r="C19" s="5" t="inlineStr">
        <is>
          <t>大客户包</t>
        </is>
      </c>
      <c r="D19" s="6" t="n">
        <v>0</v>
      </c>
      <c r="E19" s="6" t="n">
        <v>4800</v>
      </c>
      <c r="F19" s="7" t="inlineStr">
        <is>
          <t>2000 单/月，超量 ¥1.5/单</t>
        </is>
      </c>
    </row>
    <row r="20">
      <c r="B20" s="11" t="inlineStr">
        <is>
          <t>提货通</t>
        </is>
      </c>
      <c r="C20" s="12" t="inlineStr">
        <is>
          <t>不限包</t>
        </is>
      </c>
      <c r="D20" s="6" t="n">
        <v>0</v>
      </c>
      <c r="E20" s="6" t="n">
        <v>9800</v>
      </c>
      <c r="F20" s="13" t="inlineStr">
        <is>
          <t>不限单量</t>
        </is>
      </c>
    </row>
    <row r="21">
      <c r="B21" s="4" t="inlineStr">
        <is>
          <t>对账通</t>
        </is>
      </c>
      <c r="C21" s="5" t="inlineStr">
        <is>
          <t>入门版</t>
        </is>
      </c>
      <c r="D21" s="6" t="n">
        <v>0</v>
      </c>
      <c r="E21" s="6" t="n">
        <v>300</v>
      </c>
      <c r="F21" s="7" t="inlineStr">
        <is>
          <t>/用户/月，≤5 个买家</t>
        </is>
      </c>
    </row>
    <row r="22">
      <c r="B22" s="8" t="inlineStr">
        <is>
          <t>对账通</t>
        </is>
      </c>
      <c r="C22" s="9" t="inlineStr">
        <is>
          <t>专业版★</t>
        </is>
      </c>
      <c r="D22" s="6" t="n">
        <v>0</v>
      </c>
      <c r="E22" s="6" t="n">
        <v>800</v>
      </c>
      <c r="F22" s="10" t="inlineStr">
        <is>
          <t>/用户/月，不限买家+应收预警+催收</t>
        </is>
      </c>
    </row>
    <row r="23">
      <c r="B23" s="4" t="inlineStr">
        <is>
          <t>对账通</t>
        </is>
      </c>
      <c r="C23" s="5" t="inlineStr">
        <is>
          <t>旗舰版</t>
        </is>
      </c>
      <c r="D23" s="6" t="n">
        <v>0</v>
      </c>
      <c r="E23" s="6" t="n">
        <v>2000</v>
      </c>
      <c r="F23" s="7" t="inlineStr">
        <is>
          <t>/用户/月，+银行系统对接</t>
        </is>
      </c>
    </row>
    <row r="24">
      <c r="B24" s="11" t="inlineStr">
        <is>
          <t>信用评分</t>
        </is>
      </c>
      <c r="C24" s="12" t="inlineStr">
        <is>
          <t>全等级</t>
        </is>
      </c>
      <c r="D24" s="6" t="n">
        <v>0</v>
      </c>
      <c r="E24" s="6" t="n">
        <v>0</v>
      </c>
      <c r="F24" s="13" t="inlineStr">
        <is>
          <t>免费！但等级影响流量倾斜</t>
        </is>
      </c>
    </row>
    <row r="25">
      <c r="B25" s="4" t="inlineStr">
        <is>
          <t>智能分发</t>
        </is>
      </c>
      <c r="C25" s="5" t="inlineStr">
        <is>
          <t>银卡流量</t>
        </is>
      </c>
      <c r="D25" s="6" t="n">
        <v>0</v>
      </c>
      <c r="E25" s="6" t="n">
        <v>1000</v>
      </c>
      <c r="F25" s="7" t="inlineStr">
        <is>
          <t>/月，+500 询价分发</t>
        </is>
      </c>
    </row>
    <row r="26">
      <c r="B26" s="8" t="inlineStr">
        <is>
          <t>智能分发</t>
        </is>
      </c>
      <c r="C26" s="9" t="inlineStr">
        <is>
          <t>金卡流量★</t>
        </is>
      </c>
      <c r="D26" s="6" t="n">
        <v>0</v>
      </c>
      <c r="E26" s="6" t="n">
        <v>3000</v>
      </c>
      <c r="F26" s="10" t="inlineStr">
        <is>
          <t>/月，+1500 询价+城市定向+智能推荐</t>
        </is>
      </c>
    </row>
    <row r="27">
      <c r="B27" s="4" t="inlineStr">
        <is>
          <t>智能分发</t>
        </is>
      </c>
      <c r="C27" s="5" t="inlineStr">
        <is>
          <t>钻卡流量</t>
        </is>
      </c>
      <c r="D27" s="6" t="n">
        <v>0</v>
      </c>
      <c r="E27" s="6" t="n">
        <v>8800</v>
      </c>
      <c r="F27" s="7" t="inlineStr">
        <is>
          <t>/月，+5000 询价+全国曝光</t>
        </is>
      </c>
    </row>
    <row r="29">
      <c r="B29" s="14" t="inlineStr">
        <is>
          <t>▼ 信用数据服务（对外卖给银行/保理/大买家，毛利 80%+）</t>
        </is>
      </c>
    </row>
    <row r="30">
      <c r="C30" s="2" t="inlineStr">
        <is>
          <t>客户类型</t>
        </is>
      </c>
      <c r="D30" s="2" t="inlineStr">
        <is>
          <t>年单价（万）</t>
        </is>
      </c>
      <c r="E30" s="2" t="inlineStr">
        <is>
          <t>目标客户数 Y3</t>
        </is>
      </c>
      <c r="F30" s="2" t="inlineStr">
        <is>
          <t>Y3 年收入（万）</t>
        </is>
      </c>
    </row>
    <row r="31">
      <c r="B31" s="5" t="inlineStr"/>
      <c r="C31" s="11" t="inlineStr">
        <is>
          <t>银行/信贷</t>
        </is>
      </c>
      <c r="D31" s="15" t="n">
        <v>50</v>
      </c>
      <c r="E31" s="16" t="n">
        <v>8</v>
      </c>
      <c r="F31" s="17">
        <f>D31*E31</f>
        <v/>
      </c>
    </row>
    <row r="32">
      <c r="B32" s="5" t="inlineStr"/>
      <c r="C32" s="11" t="inlineStr">
        <is>
          <t>保理/担保</t>
        </is>
      </c>
      <c r="D32" s="15" t="n">
        <v>30</v>
      </c>
      <c r="E32" s="16" t="n">
        <v>12</v>
      </c>
      <c r="F32" s="17">
        <f>D32*E32</f>
        <v/>
      </c>
    </row>
    <row r="33">
      <c r="B33" s="5" t="inlineStr"/>
      <c r="C33" s="11" t="inlineStr">
        <is>
          <t>大型买家</t>
        </is>
      </c>
      <c r="D33" s="15" t="n">
        <v>10</v>
      </c>
      <c r="E33" s="16" t="n">
        <v>25</v>
      </c>
      <c r="F33" s="17">
        <f>D33*E33</f>
        <v/>
      </c>
    </row>
    <row r="34">
      <c r="B34" s="5" t="inlineStr"/>
      <c r="C34" s="11" t="inlineStr">
        <is>
          <t>行业研究</t>
        </is>
      </c>
      <c r="D34" s="15" t="n">
        <v>20</v>
      </c>
      <c r="E34" s="16" t="n">
        <v>8</v>
      </c>
      <c r="F34" s="17">
        <f>D34*E34</f>
        <v/>
      </c>
    </row>
    <row r="35">
      <c r="B35" s="5" t="inlineStr"/>
      <c r="C35" s="11" t="inlineStr">
        <is>
          <t>政府/协会</t>
        </is>
      </c>
      <c r="D35" s="15" t="n">
        <v>50</v>
      </c>
      <c r="E35" s="16" t="n">
        <v>4</v>
      </c>
      <c r="F35" s="17">
        <f>D35*E35</f>
        <v/>
      </c>
    </row>
    <row r="36">
      <c r="C36" s="18" t="inlineStr">
        <is>
          <t>信用数据 Y3 总年收入</t>
        </is>
      </c>
      <c r="F36" s="19">
        <f>SUM(F31:F35)</f>
        <v/>
      </c>
    </row>
  </sheetData>
  <mergeCells count="2">
    <mergeCell ref="B2:F2"/>
    <mergeCell ref="B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0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8" customWidth="1" min="3" max="3"/>
    <col width="12" customWidth="1" min="4" max="4"/>
    <col width="16" customWidth="1" min="5" max="5"/>
    <col width="16" customWidth="1" min="6" max="6"/>
    <col width="16" customWidth="1" min="7" max="7"/>
    <col width="18" customWidth="1" min="8" max="8"/>
  </cols>
  <sheetData>
    <row r="2">
      <c r="B2" s="1" t="inlineStr">
        <is>
          <t>5 层钢贸商客户分层 + 推荐套餐</t>
        </is>
      </c>
    </row>
    <row r="4">
      <c r="B4" s="2" t="inlineStr">
        <is>
          <t>层</t>
        </is>
      </c>
      <c r="C4" s="2" t="inlineStr">
        <is>
          <t>流水规模(亿)</t>
        </is>
      </c>
      <c r="D4" s="2" t="inlineStr">
        <is>
          <t>占比</t>
        </is>
      </c>
      <c r="E4" s="2" t="inlineStr">
        <is>
          <t>年付费红线(万)</t>
        </is>
      </c>
      <c r="F4" s="2" t="inlineStr">
        <is>
          <t>推荐月费(¥)</t>
        </is>
      </c>
      <c r="G4" s="2" t="inlineStr">
        <is>
          <t>推荐年费(万)</t>
        </is>
      </c>
      <c r="H4" s="2" t="inlineStr">
        <is>
          <t>占流水‰</t>
        </is>
      </c>
    </row>
    <row r="5">
      <c r="B5" s="4" t="inlineStr">
        <is>
          <t>小微</t>
        </is>
      </c>
      <c r="C5" s="5" t="inlineStr">
        <is>
          <t>≤ 0.3</t>
        </is>
      </c>
      <c r="D5" s="5" t="inlineStr">
        <is>
          <t>40%</t>
        </is>
      </c>
      <c r="E5" s="20" t="n">
        <v>1.8</v>
      </c>
      <c r="F5" s="20" t="n">
        <v>2300</v>
      </c>
      <c r="G5" s="21" t="n">
        <v>2.76</v>
      </c>
      <c r="H5" s="5" t="inlineStr">
        <is>
          <t>0.92‰</t>
        </is>
      </c>
    </row>
    <row r="6">
      <c r="B6" s="11" t="inlineStr">
        <is>
          <t>小型</t>
        </is>
      </c>
      <c r="C6" s="12" t="inlineStr">
        <is>
          <t>0.3-1</t>
        </is>
      </c>
      <c r="D6" s="12" t="inlineStr">
        <is>
          <t>30%</t>
        </is>
      </c>
      <c r="E6" s="22" t="n">
        <v>3.6</v>
      </c>
      <c r="F6" s="22" t="n">
        <v>4500</v>
      </c>
      <c r="G6" s="23" t="n">
        <v>5.4</v>
      </c>
      <c r="H6" s="12" t="inlineStr">
        <is>
          <t>0.6-1.8‰</t>
        </is>
      </c>
    </row>
    <row r="7">
      <c r="B7" s="8" t="inlineStr">
        <is>
          <t>中型★</t>
        </is>
      </c>
      <c r="C7" s="24" t="inlineStr">
        <is>
          <t>1-3</t>
        </is>
      </c>
      <c r="D7" s="24" t="inlineStr">
        <is>
          <t>20%</t>
        </is>
      </c>
      <c r="E7" s="17" t="n">
        <v>7</v>
      </c>
      <c r="F7" s="17" t="n">
        <v>9100</v>
      </c>
      <c r="G7" s="9" t="n">
        <v>10.92</v>
      </c>
      <c r="H7" s="24" t="inlineStr">
        <is>
          <t>0.4-1.1‰</t>
        </is>
      </c>
    </row>
    <row r="8">
      <c r="B8" s="11" t="inlineStr">
        <is>
          <t>中型+流量</t>
        </is>
      </c>
      <c r="C8" s="12" t="inlineStr">
        <is>
          <t>1-3</t>
        </is>
      </c>
      <c r="D8" s="12" t="inlineStr">
        <is>
          <t>(主推)</t>
        </is>
      </c>
      <c r="E8" s="22" t="n">
        <v>14</v>
      </c>
      <c r="F8" s="22" t="n">
        <v>12100</v>
      </c>
      <c r="G8" s="23" t="n">
        <v>14.5</v>
      </c>
      <c r="H8" s="12" t="inlineStr">
        <is>
          <t>0.5-1.5‰</t>
        </is>
      </c>
    </row>
    <row r="9">
      <c r="B9" s="4" t="inlineStr">
        <is>
          <t>大型</t>
        </is>
      </c>
      <c r="C9" s="5" t="inlineStr">
        <is>
          <t>3-10</t>
        </is>
      </c>
      <c r="D9" s="5" t="inlineStr">
        <is>
          <t>8%</t>
        </is>
      </c>
      <c r="E9" s="20" t="n">
        <v>18</v>
      </c>
      <c r="F9" s="20" t="n">
        <v>27900</v>
      </c>
      <c r="G9" s="21" t="n">
        <v>33.5</v>
      </c>
      <c r="H9" s="5" t="inlineStr">
        <is>
          <t>0.3-1.1‰</t>
        </is>
      </c>
    </row>
    <row r="10">
      <c r="B10" s="11" t="inlineStr">
        <is>
          <t>集团</t>
        </is>
      </c>
      <c r="C10" s="12" t="inlineStr">
        <is>
          <t>&gt; 10</t>
        </is>
      </c>
      <c r="D10" s="12" t="inlineStr">
        <is>
          <t>2%</t>
        </is>
      </c>
      <c r="E10" s="22" t="n">
        <v>30</v>
      </c>
      <c r="F10" s="22" t="n">
        <v>80000</v>
      </c>
      <c r="G10" s="23" t="n">
        <v>96</v>
      </c>
      <c r="H10" s="12" t="inlineStr">
        <is>
          <t>0.3-0.96‰</t>
        </is>
      </c>
    </row>
  </sheetData>
  <mergeCells count="1"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2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18" customWidth="1" min="4" max="4"/>
    <col width="30" customWidth="1" min="5" max="5"/>
  </cols>
  <sheetData>
    <row r="2">
      <c r="B2" s="1" t="inlineStr">
        <is>
          <t>ARPU 配置器（黄色 = 选你给客户的套餐）</t>
        </is>
      </c>
    </row>
    <row r="4">
      <c r="B4" s="11" t="inlineStr">
        <is>
          <t>客户名称</t>
        </is>
      </c>
      <c r="C4" s="25" t="inlineStr">
        <is>
          <t>某钢贸商</t>
        </is>
      </c>
      <c r="D4" s="11" t="inlineStr">
        <is>
          <t>年流水(万元)</t>
        </is>
      </c>
      <c r="E4" s="25" t="n">
        <v>15000</v>
      </c>
    </row>
    <row r="6">
      <c r="B6" s="26" t="inlineStr">
        <is>
          <t>▼ 选你要给客户配的套餐</t>
        </is>
      </c>
    </row>
    <row r="7">
      <c r="B7" s="2" t="inlineStr">
        <is>
          <t>产品</t>
        </is>
      </c>
      <c r="C7" s="2" t="inlineStr">
        <is>
          <t>档位选择</t>
        </is>
      </c>
      <c r="D7" s="2" t="inlineStr">
        <is>
          <t>用户/单量</t>
        </is>
      </c>
      <c r="E7" s="2" t="inlineStr">
        <is>
          <t>月费(¥)</t>
        </is>
      </c>
    </row>
    <row r="8">
      <c r="B8" s="11" t="inlineStr">
        <is>
          <t>ERP/WMS</t>
        </is>
      </c>
      <c r="C8" s="15" t="inlineStr">
        <is>
          <t>经营版</t>
        </is>
      </c>
      <c r="D8" s="16" t="n">
        <v>1</v>
      </c>
      <c r="E8" s="17">
        <f>IF(C8="标准版",1800,IF(C8="经营版",3000,IF(C8="旗舰版",6800,0)))</f>
        <v/>
      </c>
    </row>
    <row r="9">
      <c r="B9" s="11" t="inlineStr">
        <is>
          <t>现货大厅</t>
        </is>
      </c>
      <c r="C9" s="15" t="inlineStr">
        <is>
          <t>金卡</t>
        </is>
      </c>
      <c r="D9" s="16" t="n">
        <v>1</v>
      </c>
      <c r="E9" s="17">
        <f>IF(C9="普通",0,IF(C9="银卡",500,IF(C9="金卡",1500,IF(C9="钻卡",4800,0))))</f>
        <v/>
      </c>
    </row>
    <row r="10">
      <c r="B10" s="11" t="inlineStr">
        <is>
          <t>AI 询价</t>
        </is>
      </c>
      <c r="C10" s="15" t="inlineStr">
        <is>
          <t>升级版</t>
        </is>
      </c>
      <c r="D10" s="16" t="n">
        <v>3</v>
      </c>
      <c r="E10" s="17">
        <f>IF(C10="升级版",200*D10,0)</f>
        <v/>
      </c>
    </row>
    <row r="11">
      <c r="B11" s="11" t="inlineStr">
        <is>
          <t>报价工作台</t>
        </is>
      </c>
      <c r="C11" s="15" t="inlineStr">
        <is>
          <t>专业版</t>
        </is>
      </c>
      <c r="D11" s="16" t="n">
        <v>5</v>
      </c>
      <c r="E11" s="17">
        <f>IF(C11="专业版",300*D11,IF(C11="团队版",800*D11,0))</f>
        <v/>
      </c>
    </row>
    <row r="12">
      <c r="B12" s="11" t="inlineStr">
        <is>
          <t>提货通</t>
        </is>
      </c>
      <c r="C12" s="15" t="inlineStr">
        <is>
          <t>标准包</t>
        </is>
      </c>
      <c r="D12" s="16" t="n">
        <v>1</v>
      </c>
      <c r="E12" s="17">
        <f>IF(C12="入门",500,IF(C12="标准包",1500,IF(C12="大客户包",4800,IF(C12="不限",9800,0))))</f>
        <v/>
      </c>
    </row>
    <row r="13">
      <c r="B13" s="11" t="inlineStr">
        <is>
          <t>对账通</t>
        </is>
      </c>
      <c r="C13" s="15" t="inlineStr">
        <is>
          <t>专业版</t>
        </is>
      </c>
      <c r="D13" s="16" t="n">
        <v>2</v>
      </c>
      <c r="E13" s="17">
        <f>IF(C13="入门",300*D13,IF(C13="专业版",800*D13,IF(C13="旗舰版",2000*D13,0)))</f>
        <v/>
      </c>
    </row>
    <row r="14">
      <c r="B14" s="11" t="inlineStr">
        <is>
          <t>智能分发流量</t>
        </is>
      </c>
      <c r="C14" s="15" t="inlineStr">
        <is>
          <t>金卡</t>
        </is>
      </c>
      <c r="D14" s="16" t="n">
        <v>1</v>
      </c>
      <c r="E14" s="17">
        <f>IF(C14="银卡",1000,IF(C14="金卡",3000,IF(C14="钻卡",8800,0)))</f>
        <v/>
      </c>
    </row>
    <row r="16">
      <c r="B16" s="26" t="inlineStr">
        <is>
          <t>月总费用</t>
        </is>
      </c>
      <c r="E16" s="27">
        <f>SUM(E8:E14)</f>
        <v/>
      </c>
    </row>
    <row r="17">
      <c r="B17" s="26" t="inlineStr">
        <is>
          <t>年总费用</t>
        </is>
      </c>
      <c r="E17" s="27">
        <f>E16*12</f>
        <v/>
      </c>
    </row>
    <row r="18">
      <c r="B18" s="26" t="inlineStr">
        <is>
          <t>占客户年流水</t>
        </is>
      </c>
      <c r="E18" s="28">
        <f>E17/(E4*10000)</f>
        <v/>
      </c>
    </row>
    <row r="19">
      <c r="B19" s="26" t="inlineStr">
        <is>
          <t>红线判断</t>
        </is>
      </c>
      <c r="E19" s="15">
        <f>IF(E18&lt;=0.001,"🟢 健康",IF(E18&lt;=0.0015,"🟡 略偏高","🔴 超线，请降配"))</f>
        <v/>
      </c>
    </row>
    <row r="21">
      <c r="B21" s="29" t="inlineStr">
        <is>
          <t>★ 红线规则：
  ≤ 1‰ → 🟢 健康
  1-1.5‰ → 🟡 略偏高，建议降配 1 项
  &gt; 1.5‰ → 🔴 超线，钢贸商付费意愿急剧下降</t>
        </is>
      </c>
    </row>
    <row r="22"/>
    <row r="23"/>
    <row r="24"/>
  </sheetData>
  <mergeCells count="3">
    <mergeCell ref="B6:E6"/>
    <mergeCell ref="B2:E2"/>
    <mergeCell ref="B21:E24"/>
  </mergeCells>
  <dataValidations count="7">
    <dataValidation sqref="C8" showDropDown="0" showInputMessage="0" showErrorMessage="0" allowBlank="1" type="list">
      <formula1>"标准版,经营版,旗舰版"</formula1>
    </dataValidation>
    <dataValidation sqref="C9" showDropDown="0" showInputMessage="0" showErrorMessage="0" allowBlank="1" type="list">
      <formula1>"普通,银卡,金卡,钻卡"</formula1>
    </dataValidation>
    <dataValidation sqref="C10" showDropDown="0" showInputMessage="0" showErrorMessage="0" allowBlank="1" type="list">
      <formula1>"基础,升级版"</formula1>
    </dataValidation>
    <dataValidation sqref="C11" showDropDown="0" showInputMessage="0" showErrorMessage="0" allowBlank="1" type="list">
      <formula1>"基础,专业版,团队版"</formula1>
    </dataValidation>
    <dataValidation sqref="C12" showDropDown="0" showInputMessage="0" showErrorMessage="0" allowBlank="1" type="list">
      <formula1>"入门,标准包,大客户包,不限"</formula1>
    </dataValidation>
    <dataValidation sqref="C13" showDropDown="0" showInputMessage="0" showErrorMessage="0" allowBlank="1" type="list">
      <formula1>"入门,专业版,旗舰版"</formula1>
    </dataValidation>
    <dataValidation sqref="C14" showDropDown="0" showInputMessage="0" showErrorMessage="0" allowBlank="1" type="list">
      <formula1>"无,银卡,金卡,钻卡"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15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6" customWidth="1" min="4" max="4"/>
    <col width="18" customWidth="1" min="5" max="5"/>
    <col width="18" customWidth="1" min="6" max="6"/>
    <col width="18" customWidth="1" min="7" max="7"/>
  </cols>
  <sheetData>
    <row r="2">
      <c r="B2" s="1" t="inlineStr">
        <is>
          <t>Y3 末（2029.03）客户金字塔 + 营收测算（自动）</t>
        </is>
      </c>
    </row>
    <row r="4">
      <c r="B4" s="26" t="inlineStr">
        <is>
          <t>Y3 末总客户数（黄色可调）</t>
        </is>
      </c>
      <c r="C4" s="15" t="n">
        <v>2000</v>
      </c>
    </row>
    <row r="6">
      <c r="B6" s="2" t="inlineStr">
        <is>
          <t>层</t>
        </is>
      </c>
      <c r="C6" s="2" t="inlineStr">
        <is>
          <t>占比</t>
        </is>
      </c>
      <c r="D6" s="2" t="inlineStr">
        <is>
          <t>客户数</t>
        </is>
      </c>
      <c r="E6" s="2" t="inlineStr">
        <is>
          <t>ARPU(¥/月)</t>
        </is>
      </c>
      <c r="F6" s="2" t="inlineStr">
        <is>
          <t>MRR(¥)</t>
        </is>
      </c>
      <c r="G6" s="2" t="inlineStr">
        <is>
          <t>ARR(¥)</t>
        </is>
      </c>
    </row>
    <row r="7">
      <c r="B7" s="4" t="inlineStr">
        <is>
          <t>小微</t>
        </is>
      </c>
      <c r="C7" s="28" t="n">
        <v>0.4</v>
      </c>
      <c r="D7" s="21">
        <f>ROUND($C$4*C7,0)</f>
        <v/>
      </c>
      <c r="E7" s="30" t="n">
        <v>2300</v>
      </c>
      <c r="F7" s="17">
        <f>D7*E7</f>
        <v/>
      </c>
      <c r="G7" s="17">
        <f>F7*12</f>
        <v/>
      </c>
    </row>
    <row r="8">
      <c r="B8" s="11" t="inlineStr">
        <is>
          <t>小型</t>
        </is>
      </c>
      <c r="C8" s="28" t="n">
        <v>0.3</v>
      </c>
      <c r="D8" s="23">
        <f>ROUND($C$4*C8,0)</f>
        <v/>
      </c>
      <c r="E8" s="30" t="n">
        <v>4500</v>
      </c>
      <c r="F8" s="17">
        <f>D8*E8</f>
        <v/>
      </c>
      <c r="G8" s="17">
        <f>F8*12</f>
        <v/>
      </c>
    </row>
    <row r="9">
      <c r="B9" s="8" t="inlineStr">
        <is>
          <t>中型</t>
        </is>
      </c>
      <c r="C9" s="28" t="n">
        <v>0.2</v>
      </c>
      <c r="D9" s="9">
        <f>ROUND($C$4*C9,0)</f>
        <v/>
      </c>
      <c r="E9" s="30" t="n">
        <v>9100</v>
      </c>
      <c r="F9" s="17">
        <f>D9*E9</f>
        <v/>
      </c>
      <c r="G9" s="17">
        <f>F9*12</f>
        <v/>
      </c>
    </row>
    <row r="10">
      <c r="B10" s="11" t="inlineStr">
        <is>
          <t>大型</t>
        </is>
      </c>
      <c r="C10" s="28" t="n">
        <v>0.08</v>
      </c>
      <c r="D10" s="23">
        <f>ROUND($C$4*C10,0)</f>
        <v/>
      </c>
      <c r="E10" s="30" t="n">
        <v>27900</v>
      </c>
      <c r="F10" s="17">
        <f>D10*E10</f>
        <v/>
      </c>
      <c r="G10" s="17">
        <f>F10*12</f>
        <v/>
      </c>
    </row>
    <row r="11">
      <c r="B11" s="4" t="inlineStr">
        <is>
          <t>集团</t>
        </is>
      </c>
      <c r="C11" s="28" t="n">
        <v>0.02</v>
      </c>
      <c r="D11" s="21">
        <f>ROUND($C$4*C11,0)</f>
        <v/>
      </c>
      <c r="E11" s="30" t="n">
        <v>80000</v>
      </c>
      <c r="F11" s="17">
        <f>D11*E11</f>
        <v/>
      </c>
      <c r="G11" s="17">
        <f>F11*12</f>
        <v/>
      </c>
    </row>
    <row r="12">
      <c r="B12" s="26" t="inlineStr">
        <is>
          <t>合计</t>
        </is>
      </c>
      <c r="D12" s="2">
        <f>SUM(D7:D11)</f>
        <v/>
      </c>
      <c r="F12" s="19">
        <f>SUM(F7:F11)</f>
        <v/>
      </c>
      <c r="G12" s="19">
        <f>SUM(G7:G11)</f>
        <v/>
      </c>
    </row>
    <row r="14">
      <c r="B14" s="31" t="inlineStr">
        <is>
          <t>★ 占比合计应等于 100%（如不等，调整黄色比例）</t>
        </is>
      </c>
    </row>
    <row r="15">
      <c r="B15" s="11" t="inlineStr">
        <is>
          <t>占比合计</t>
        </is>
      </c>
      <c r="C15" s="28">
        <f>SUM(C7:C11)</f>
        <v/>
      </c>
    </row>
  </sheetData>
  <mergeCells count="2">
    <mergeCell ref="B2:G2"/>
    <mergeCell ref="B14:G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15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2">
      <c r="B2" s="1" t="inlineStr">
        <is>
          <t>钢贸业务 3 年营收预测（基准情景）</t>
        </is>
      </c>
    </row>
    <row r="4">
      <c r="B4" s="2" t="inlineStr">
        <is>
          <t>收入来源</t>
        </is>
      </c>
      <c r="C4" s="2" t="inlineStr">
        <is>
          <t>Y1</t>
        </is>
      </c>
      <c r="D4" s="2" t="inlineStr">
        <is>
          <t>Y2</t>
        </is>
      </c>
      <c r="E4" s="2" t="inlineStr">
        <is>
          <t>Y3</t>
        </is>
      </c>
      <c r="F4" s="2" t="inlineStr">
        <is>
          <t>3 年累计</t>
        </is>
      </c>
    </row>
    <row r="5">
      <c r="B5" s="11" t="inlineStr">
        <is>
          <t>钢贸 SaaS 订阅（5 层客户）</t>
        </is>
      </c>
      <c r="C5" s="6" t="n">
        <v>1000000</v>
      </c>
      <c r="D5" s="6" t="n">
        <v>12000000</v>
      </c>
      <c r="E5" s="6" t="n">
        <v>190000000</v>
      </c>
      <c r="F5" s="17">
        <f>SUM(C5:E5)</f>
        <v/>
      </c>
    </row>
    <row r="6">
      <c r="B6" s="11" t="inlineStr">
        <is>
          <t>信用数据服务（外卖）</t>
        </is>
      </c>
      <c r="C6" s="6" t="n">
        <v>0</v>
      </c>
      <c r="D6" s="6" t="n">
        <v>1000000</v>
      </c>
      <c r="E6" s="6" t="n">
        <v>13000000</v>
      </c>
      <c r="F6" s="17">
        <f>SUM(C6:E6)</f>
        <v/>
      </c>
    </row>
    <row r="7">
      <c r="B7" s="11" t="inlineStr">
        <is>
          <t>平台撮合佣金</t>
        </is>
      </c>
      <c r="C7" s="6" t="n">
        <v>300000</v>
      </c>
      <c r="D7" s="6" t="n">
        <v>4000000</v>
      </c>
      <c r="E7" s="6" t="n">
        <v>25000000</v>
      </c>
      <c r="F7" s="17">
        <f>SUM(C7:E7)</f>
        <v/>
      </c>
    </row>
    <row r="8">
      <c r="B8" s="11" t="inlineStr">
        <is>
          <t>仓储托盘分润</t>
        </is>
      </c>
      <c r="C8" s="6" t="n">
        <v>100000</v>
      </c>
      <c r="D8" s="6" t="n">
        <v>1000000</v>
      </c>
      <c r="E8" s="6" t="n">
        <v>8000000</v>
      </c>
      <c r="F8" s="17">
        <f>SUM(C8:E8)</f>
        <v/>
      </c>
    </row>
    <row r="9">
      <c r="B9" s="11" t="inlineStr">
        <is>
          <t>物流调度分润</t>
        </is>
      </c>
      <c r="C9" s="6" t="n">
        <v>100000</v>
      </c>
      <c r="D9" s="6" t="n">
        <v>800000</v>
      </c>
      <c r="E9" s="6" t="n">
        <v>6000000</v>
      </c>
      <c r="F9" s="17">
        <f>SUM(C9:E9)</f>
        <v/>
      </c>
    </row>
    <row r="10">
      <c r="B10" s="11" t="inlineStr">
        <is>
          <t>票据/担保服务费</t>
        </is>
      </c>
      <c r="C10" s="6" t="n">
        <v>0</v>
      </c>
      <c r="D10" s="6" t="n">
        <v>200000</v>
      </c>
      <c r="E10" s="6" t="n">
        <v>10000000</v>
      </c>
      <c r="F10" s="17">
        <f>SUM(C10:E10)</f>
        <v/>
      </c>
    </row>
    <row r="11">
      <c r="B11" s="26" t="inlineStr">
        <is>
          <t>钢贸业务合计</t>
        </is>
      </c>
      <c r="C11" s="19">
        <f>SUM(C5:C10)</f>
        <v/>
      </c>
      <c r="D11" s="19">
        <f>SUM(D5:D10)</f>
        <v/>
      </c>
      <c r="E11" s="19">
        <f>SUM(E5:E10)</f>
        <v/>
      </c>
      <c r="F11" s="19">
        <f>SUM(F5:F10)</f>
        <v/>
      </c>
    </row>
    <row r="13">
      <c r="B13" s="11" t="inlineStr">
        <is>
          <t>+ 钢厂主业（Plan A）</t>
        </is>
      </c>
      <c r="C13" s="32" t="n">
        <v>8000000</v>
      </c>
      <c r="D13" s="32" t="n">
        <v>25000000</v>
      </c>
      <c r="E13" s="32" t="n">
        <v>55000000</v>
      </c>
      <c r="F13" s="17">
        <f>SUM(C13:E13)</f>
        <v/>
      </c>
    </row>
    <row r="15">
      <c r="B15" s="33" t="inlineStr">
        <is>
          <t>★ 3 业务总营收</t>
        </is>
      </c>
      <c r="C15" s="34">
        <f>C11+C13</f>
        <v/>
      </c>
      <c r="D15" s="34">
        <f>D11+D13</f>
        <v/>
      </c>
      <c r="E15" s="34">
        <f>E11+E13</f>
        <v/>
      </c>
      <c r="F15" s="34">
        <f>F11+F13</f>
        <v/>
      </c>
    </row>
  </sheetData>
  <mergeCells count="1">
    <mergeCell ref="B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20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6" customWidth="1" min="4" max="4"/>
    <col width="16" customWidth="1" min="5" max="5"/>
  </cols>
  <sheetData>
    <row r="2">
      <c r="B2" s="1" t="inlineStr">
        <is>
          <t>C 闭环：信用数据服务（外卖给银行/保理/大买家）</t>
        </is>
      </c>
    </row>
    <row r="4">
      <c r="B4" s="8" t="inlineStr">
        <is>
          <t>★ 这是 3 业务里毛利最高的部分，毛利 80%+，必须早布局</t>
        </is>
      </c>
    </row>
    <row r="6">
      <c r="B6" s="2" t="inlineStr">
        <is>
          <t>客户类型</t>
        </is>
      </c>
      <c r="C6" s="2" t="inlineStr">
        <is>
          <t>年单价(万)</t>
        </is>
      </c>
      <c r="D6" s="2" t="inlineStr">
        <is>
          <t>Y3 客户数</t>
        </is>
      </c>
      <c r="E6" s="2" t="inlineStr">
        <is>
          <t>Y3 年收入(万)</t>
        </is>
      </c>
    </row>
    <row r="7">
      <c r="B7" s="11" t="inlineStr">
        <is>
          <t>银行 / 信贷</t>
        </is>
      </c>
      <c r="C7" s="35" t="n">
        <v>50</v>
      </c>
      <c r="D7" s="16" t="n">
        <v>8</v>
      </c>
      <c r="E7" s="36">
        <f>C7*D7</f>
        <v/>
      </c>
    </row>
    <row r="8">
      <c r="B8" s="11" t="inlineStr">
        <is>
          <t>保理 / 担保</t>
        </is>
      </c>
      <c r="C8" s="35" t="n">
        <v>30</v>
      </c>
      <c r="D8" s="16" t="n">
        <v>12</v>
      </c>
      <c r="E8" s="36">
        <f>C8*D8</f>
        <v/>
      </c>
    </row>
    <row r="9">
      <c r="B9" s="11" t="inlineStr">
        <is>
          <t>大型买家</t>
        </is>
      </c>
      <c r="C9" s="35" t="n">
        <v>10</v>
      </c>
      <c r="D9" s="16" t="n">
        <v>25</v>
      </c>
      <c r="E9" s="36">
        <f>C9*D9</f>
        <v/>
      </c>
    </row>
    <row r="10">
      <c r="B10" s="11" t="inlineStr">
        <is>
          <t>行业研究 / 评级</t>
        </is>
      </c>
      <c r="C10" s="35" t="n">
        <v>20</v>
      </c>
      <c r="D10" s="16" t="n">
        <v>8</v>
      </c>
      <c r="E10" s="36">
        <f>C10*D10</f>
        <v/>
      </c>
    </row>
    <row r="11">
      <c r="B11" s="11" t="inlineStr">
        <is>
          <t>政府 / 协会</t>
        </is>
      </c>
      <c r="C11" s="35" t="n">
        <v>50</v>
      </c>
      <c r="D11" s="16" t="n">
        <v>4</v>
      </c>
      <c r="E11" s="36">
        <f>C11*D11</f>
        <v/>
      </c>
    </row>
    <row r="12">
      <c r="B12" s="26" t="inlineStr">
        <is>
          <t>Y3 信用数据总收入</t>
        </is>
      </c>
      <c r="E12" s="37">
        <f>SUM(E7:E11)</f>
        <v/>
      </c>
    </row>
    <row r="14">
      <c r="B14" s="26" t="inlineStr">
        <is>
          <t>★ 信用数据 3 年增长曲线</t>
        </is>
      </c>
    </row>
    <row r="15">
      <c r="B15" s="2" t="inlineStr">
        <is>
          <t>年</t>
        </is>
      </c>
      <c r="C15" s="2" t="inlineStr">
        <is>
          <t>客户数</t>
        </is>
      </c>
      <c r="D15" s="2" t="inlineStr">
        <is>
          <t>年收入(万)</t>
        </is>
      </c>
      <c r="E15" s="2" t="inlineStr">
        <is>
          <t>毛利率</t>
        </is>
      </c>
    </row>
    <row r="16">
      <c r="B16" s="23" t="inlineStr">
        <is>
          <t>Y1</t>
        </is>
      </c>
      <c r="C16" s="12" t="n">
        <v>0</v>
      </c>
      <c r="D16" s="38" t="n">
        <v>0</v>
      </c>
      <c r="E16" s="12" t="inlineStr">
        <is>
          <t>—</t>
        </is>
      </c>
    </row>
    <row r="17">
      <c r="B17" s="23" t="inlineStr">
        <is>
          <t>Y2</t>
        </is>
      </c>
      <c r="C17" s="12" t="n">
        <v>5</v>
      </c>
      <c r="D17" s="38" t="n">
        <v>100</v>
      </c>
      <c r="E17" s="12" t="inlineStr">
        <is>
          <t>60%</t>
        </is>
      </c>
    </row>
    <row r="18">
      <c r="B18" s="9" t="inlineStr">
        <is>
          <t>Y3</t>
        </is>
      </c>
      <c r="C18" s="24" t="n">
        <v>57</v>
      </c>
      <c r="D18" s="36" t="n">
        <v>1300</v>
      </c>
      <c r="E18" s="24" t="inlineStr">
        <is>
          <t>80%</t>
        </is>
      </c>
    </row>
    <row r="19">
      <c r="B19" s="9" t="inlineStr">
        <is>
          <t>Y4 预期</t>
        </is>
      </c>
      <c r="C19" s="24" t="n">
        <v>100</v>
      </c>
      <c r="D19" s="36" t="n">
        <v>2500</v>
      </c>
      <c r="E19" s="24" t="inlineStr">
        <is>
          <t>85%</t>
        </is>
      </c>
    </row>
    <row r="20">
      <c r="B20" s="9" t="inlineStr">
        <is>
          <t>Y5 预期</t>
        </is>
      </c>
      <c r="C20" s="24" t="n">
        <v>200</v>
      </c>
      <c r="D20" s="36" t="n">
        <v>5000</v>
      </c>
      <c r="E20" s="24" t="inlineStr">
        <is>
          <t>85%</t>
        </is>
      </c>
    </row>
  </sheetData>
  <mergeCells count="3">
    <mergeCell ref="B14:E14"/>
    <mergeCell ref="B2:E2"/>
    <mergeCell ref="B4:E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18" customWidth="1" min="4" max="4"/>
    <col width="30" customWidth="1" min="5" max="5"/>
  </cols>
  <sheetData>
    <row r="2">
      <c r="B2" s="1" t="inlineStr">
        <is>
          <t>估值与融资测算（按 SaaS PS 倍数）</t>
        </is>
      </c>
    </row>
    <row r="4">
      <c r="B4" s="26" t="inlineStr">
        <is>
          <t>Y3 末年化 ARR (¥)</t>
        </is>
      </c>
      <c r="C4" s="30" t="n">
        <v>300000000</v>
      </c>
    </row>
    <row r="5">
      <c r="B5" s="26" t="inlineStr">
        <is>
          <t>增长率 (年)</t>
        </is>
      </c>
      <c r="C5" s="28" t="n">
        <v>0.7</v>
      </c>
    </row>
    <row r="7">
      <c r="B7" s="26" t="inlineStr">
        <is>
          <t>PS 倍数 → 估值</t>
        </is>
      </c>
    </row>
    <row r="8">
      <c r="B8" s="2" t="inlineStr">
        <is>
          <t>情景</t>
        </is>
      </c>
      <c r="C8" s="2" t="inlineStr">
        <is>
          <t>PS 倍数</t>
        </is>
      </c>
      <c r="D8" s="2" t="inlineStr">
        <is>
          <t>估值 (¥)</t>
        </is>
      </c>
      <c r="E8" s="2" t="inlineStr">
        <is>
          <t>说明</t>
        </is>
      </c>
    </row>
    <row r="9">
      <c r="B9" s="4" t="inlineStr">
        <is>
          <t>保守</t>
        </is>
      </c>
      <c r="C9" s="15" t="n">
        <v>5</v>
      </c>
      <c r="D9" s="17">
        <f>$C$4*C9</f>
        <v/>
      </c>
      <c r="E9" s="7" t="inlineStr">
        <is>
          <t>增长率不及预期</t>
        </is>
      </c>
    </row>
    <row r="10">
      <c r="B10" s="8" t="inlineStr">
        <is>
          <t>基准</t>
        </is>
      </c>
      <c r="C10" s="15" t="n">
        <v>8</v>
      </c>
      <c r="D10" s="17">
        <f>$C$4*C10</f>
        <v/>
      </c>
      <c r="E10" s="10" t="inlineStr">
        <is>
          <t>市场平均</t>
        </is>
      </c>
    </row>
    <row r="11">
      <c r="B11" s="4" t="inlineStr">
        <is>
          <t>乐观</t>
        </is>
      </c>
      <c r="C11" s="15" t="n">
        <v>12</v>
      </c>
      <c r="D11" s="17">
        <f>$C$4*C11</f>
        <v/>
      </c>
      <c r="E11" s="7" t="inlineStr">
        <is>
          <t>高增长 + 数据壁垒</t>
        </is>
      </c>
    </row>
    <row r="12">
      <c r="B12" s="11" t="inlineStr">
        <is>
          <t>极端乐观</t>
        </is>
      </c>
      <c r="C12" s="15" t="n">
        <v>15</v>
      </c>
      <c r="D12" s="17">
        <f>$C$4*C12</f>
        <v/>
      </c>
      <c r="E12" s="13" t="inlineStr">
        <is>
          <t>上市前估值</t>
        </is>
      </c>
    </row>
    <row r="14">
      <c r="B14" s="26" t="inlineStr">
        <is>
          <t>★ 融资轮次建议（基于估值）</t>
        </is>
      </c>
    </row>
    <row r="15">
      <c r="B15" s="2" t="inlineStr">
        <is>
          <t>阶段</t>
        </is>
      </c>
      <c r="C15" s="2" t="inlineStr">
        <is>
          <t>时点</t>
        </is>
      </c>
      <c r="D15" s="2" t="inlineStr">
        <is>
          <t>融资规模(¥)</t>
        </is>
      </c>
      <c r="E15" s="2" t="inlineStr">
        <is>
          <t>稀释 %</t>
        </is>
      </c>
    </row>
    <row r="16">
      <c r="B16" s="11" t="inlineStr">
        <is>
          <t>天使轮</t>
        </is>
      </c>
      <c r="C16" s="12" t="inlineStr">
        <is>
          <t>Y1 末 (2027.03)</t>
        </is>
      </c>
      <c r="D16" s="30" t="n">
        <v>5000000</v>
      </c>
      <c r="E16" s="12" t="inlineStr">
        <is>
          <t>5-10%</t>
        </is>
      </c>
    </row>
    <row r="17">
      <c r="B17" s="4" t="inlineStr">
        <is>
          <t>Pre-A 轮</t>
        </is>
      </c>
      <c r="C17" s="5" t="inlineStr">
        <is>
          <t>Y2 末 (2028.03)</t>
        </is>
      </c>
      <c r="D17" s="30" t="n">
        <v>30000000</v>
      </c>
      <c r="E17" s="5" t="inlineStr">
        <is>
          <t>10-15%</t>
        </is>
      </c>
    </row>
    <row r="18">
      <c r="B18" s="11" t="inlineStr">
        <is>
          <t>A 轮</t>
        </is>
      </c>
      <c r="C18" s="12" t="inlineStr">
        <is>
          <t>Y3 末 (2029.03)</t>
        </is>
      </c>
      <c r="D18" s="30" t="n">
        <v>100000000</v>
      </c>
      <c r="E18" s="12" t="inlineStr">
        <is>
          <t>10-15%</t>
        </is>
      </c>
    </row>
    <row r="19">
      <c r="B19" s="4" t="inlineStr">
        <is>
          <t>B 轮</t>
        </is>
      </c>
      <c r="C19" s="5" t="inlineStr">
        <is>
          <t>Y4 末 (2030.03)</t>
        </is>
      </c>
      <c r="D19" s="30" t="n">
        <v>300000000</v>
      </c>
      <c r="E19" s="5" t="inlineStr">
        <is>
          <t>8-12%</t>
        </is>
      </c>
    </row>
    <row r="20">
      <c r="B20" s="11" t="inlineStr">
        <is>
          <t>Pre-IPO</t>
        </is>
      </c>
      <c r="C20" s="12" t="inlineStr">
        <is>
          <t>Y5 (2031)</t>
        </is>
      </c>
      <c r="D20" s="30" t="n">
        <v>800000000</v>
      </c>
      <c r="E20" s="12" t="inlineStr">
        <is>
          <t>5-10%</t>
        </is>
      </c>
    </row>
  </sheetData>
  <mergeCells count="3">
    <mergeCell ref="B14:E14"/>
    <mergeCell ref="B7:E7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2026-04-20T10:44:37Z</dcterms:created>
  <dcterms:modified xsi:type="dcterms:W3CDTF">2026-04-20T10:44:38Z</dcterms:modified>
</cp:coreProperties>
</file>