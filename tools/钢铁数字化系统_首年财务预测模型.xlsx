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关键假设" sheetId="2" state="visible" r:id="rId2"/>
    <sheet name="月度漏斗" sheetId="3" state="visible" r:id="rId3"/>
    <sheet name="月度收入" sheetId="4" state="visible" r:id="rId4"/>
    <sheet name="月度成本" sheetId="5" state="visible" r:id="rId5"/>
    <sheet name="月度现金流" sheetId="6" state="visible" r:id="rId6"/>
    <sheet name="损益与回本" sheetId="7" state="visible" r:id="rId7"/>
    <sheet name="三档情景对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¥&quot;#,##0"/>
  </numFmts>
  <fonts count="6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1"/>
    </font>
    <font>
      <name val="Microsoft YaHei"/>
      <sz val="10"/>
    </font>
    <font>
      <name val="Microsoft YaHei"/>
      <b val="1"/>
      <color rgb="00FFFFFF"/>
      <sz val="11"/>
    </font>
    <font>
      <name val="Microsoft YaHei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1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</cols>
  <sheetData>
    <row r="2">
      <c r="B2" s="1" t="inlineStr">
        <is>
          <t>钢铁数字化系统 · 首年财务预测模型 v1.0</t>
        </is>
      </c>
    </row>
    <row r="4" ht="40" customHeight="1">
      <c r="B4" s="2" t="inlineStr">
        <is>
          <t>适用对象</t>
        </is>
      </c>
      <c r="C4" s="3" t="inlineStr">
        <is>
          <t>老板 / 财务 / 营销负责人 / 投资人</t>
        </is>
      </c>
    </row>
    <row r="5" ht="80.39999999999999" customHeight="1">
      <c r="B5" s="2" t="inlineStr">
        <is>
          <t>使用步骤</t>
        </is>
      </c>
      <c r="C5" s="3" t="inlineStr">
        <is>
          <t>① 打开『关键假设』，按黄色单元格调参数（线索量/转化率/客单价/人力等）
② 切换『月度漏斗』『月度收入』『月度成本』『月度现金流』查看自动结果
③ 『损益与回本』给你 3 个核心数：首年损益、单月转正月份、累计回本月份
④ 『三档情景对比』给你保守/基准/乐观对比</t>
        </is>
      </c>
    </row>
    <row r="6" ht="89.39999999999999" customHeight="1">
      <c r="B6" s="2" t="inlineStr">
        <is>
          <t>假设解释</t>
        </is>
      </c>
      <c r="C6" s="3" t="inlineStr">
        <is>
          <t>• 线索来源：地推/老板局/合伙人/灯塔厂转介绍/内容营销 5 类
• 转化率：MQL→SQL→POC→签约 4 段漏斗
• 客单价：种子/经营/旗舰 3 档比例 + 12 期分期模式（默认 70%）
• 续费：月租按客户保留率累计 MRR
• 成本：人力 + 营销 + 老板局 + 工具 + 应急</t>
        </is>
      </c>
    </row>
    <row r="7" ht="40" customHeight="1">
      <c r="B7" s="2" t="inlineStr">
        <is>
          <t>修改边界</t>
        </is>
      </c>
      <c r="C7" s="3" t="inlineStr">
        <is>
          <t>只改黄色单元格；公式和表头不要动</t>
        </is>
      </c>
    </row>
    <row r="8" ht="64.8" customHeight="1">
      <c r="B8" s="2" t="inlineStr">
        <is>
          <t>注意</t>
        </is>
      </c>
      <c r="C8" s="3" t="inlineStr">
        <is>
          <t>1. 数字仅基于行业基准 + 钢铁 SaaS 经验估算，**不是承诺**
2. 实际偏差 ±30% 属正常；偏差 &gt;50% 时及时复盘
3. 建议每月用真实数据替换『假设月数据』，做 Forward Forecast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6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50" customWidth="1" min="5" max="5"/>
  </cols>
  <sheetData>
    <row r="2">
      <c r="B2" s="1" t="inlineStr">
        <is>
          <t>关键假设输入区（黄色 = 可调）</t>
        </is>
      </c>
    </row>
    <row r="4">
      <c r="B4" s="4" t="inlineStr">
        <is>
          <t>一、线索获取（每月）</t>
        </is>
      </c>
    </row>
    <row r="5">
      <c r="B5" s="3" t="inlineStr">
        <is>
          <t>地推线索数（每月）</t>
        </is>
      </c>
      <c r="C5" s="5" t="n">
        <v>80</v>
      </c>
      <c r="D5" s="6" t="inlineStr">
        <is>
          <t>条/月</t>
        </is>
      </c>
      <c r="E5" s="3" t="inlineStr">
        <is>
          <t>1-2 个地推人员稳定产出</t>
        </is>
      </c>
    </row>
    <row r="6">
      <c r="B6" s="3" t="inlineStr">
        <is>
          <t>老板局线索数（每月）</t>
        </is>
      </c>
      <c r="C6" s="5" t="n">
        <v>15</v>
      </c>
      <c r="D6" s="6" t="inlineStr">
        <is>
          <t>条/月</t>
        </is>
      </c>
      <c r="E6" s="3" t="inlineStr">
        <is>
          <t>1.5 月办 1 场，每场 12 人</t>
        </is>
      </c>
    </row>
    <row r="7">
      <c r="B7" s="3" t="inlineStr">
        <is>
          <t>合伙人推荐线索（每月）</t>
        </is>
      </c>
      <c r="C7" s="5" t="n">
        <v>25</v>
      </c>
      <c r="D7" s="6" t="inlineStr">
        <is>
          <t>条/月</t>
        </is>
      </c>
      <c r="E7" s="3" t="inlineStr">
        <is>
          <t>100 个合伙人后稳定</t>
        </is>
      </c>
    </row>
    <row r="8">
      <c r="B8" s="3" t="inlineStr">
        <is>
          <t>灯塔厂转介绍（每月）</t>
        </is>
      </c>
      <c r="C8" s="5" t="n">
        <v>8</v>
      </c>
      <c r="D8" s="6" t="inlineStr">
        <is>
          <t>条/月</t>
        </is>
      </c>
      <c r="E8" s="3" t="inlineStr">
        <is>
          <t>灯塔厂上线后才有</t>
        </is>
      </c>
    </row>
    <row r="9">
      <c r="B9" s="3" t="inlineStr">
        <is>
          <t>内容/线上线索（每月）</t>
        </is>
      </c>
      <c r="C9" s="5" t="n">
        <v>20</v>
      </c>
      <c r="D9" s="6" t="inlineStr">
        <is>
          <t>条/月</t>
        </is>
      </c>
      <c r="E9" s="3" t="inlineStr">
        <is>
          <t>公众号/抖音/视频号</t>
        </is>
      </c>
    </row>
    <row r="11">
      <c r="B11" s="4" t="inlineStr">
        <is>
          <t>二、漏斗转化率</t>
        </is>
      </c>
    </row>
    <row r="12">
      <c r="B12" s="3" t="inlineStr">
        <is>
          <t>线索 → MQL（添加微信）</t>
        </is>
      </c>
      <c r="C12" s="7" t="n">
        <v>0.3</v>
      </c>
      <c r="D12" s="6" t="inlineStr">
        <is>
          <t>%</t>
        </is>
      </c>
      <c r="E12" s="3" t="inlineStr">
        <is>
          <t>整体均值</t>
        </is>
      </c>
    </row>
    <row r="13">
      <c r="B13" s="3" t="inlineStr">
        <is>
          <t>MQL → SQL（约访成功）</t>
        </is>
      </c>
      <c r="C13" s="7" t="n">
        <v>0.4</v>
      </c>
      <c r="D13" s="6" t="inlineStr">
        <is>
          <t>%</t>
        </is>
      </c>
      <c r="E13" s="3" t="inlineStr"/>
    </row>
    <row r="14">
      <c r="B14" s="3" t="inlineStr">
        <is>
          <t>SQL → POC</t>
        </is>
      </c>
      <c r="C14" s="7" t="n">
        <v>0.5</v>
      </c>
      <c r="D14" s="6" t="inlineStr">
        <is>
          <t>%</t>
        </is>
      </c>
      <c r="E14" s="3" t="inlineStr">
        <is>
          <t>上门诊断后启动 POC</t>
        </is>
      </c>
    </row>
    <row r="15">
      <c r="B15" s="3" t="inlineStr">
        <is>
          <t>POC → 签约</t>
        </is>
      </c>
      <c r="C15" s="7" t="n">
        <v>0.55</v>
      </c>
      <c r="D15" s="6" t="inlineStr">
        <is>
          <t>%</t>
        </is>
      </c>
      <c r="E15" s="3" t="inlineStr">
        <is>
          <t>POC 成功率</t>
        </is>
      </c>
    </row>
    <row r="17">
      <c r="B17" s="4" t="inlineStr">
        <is>
          <t>三、客单价分布</t>
        </is>
      </c>
    </row>
    <row r="18">
      <c r="B18" s="3" t="inlineStr">
        <is>
          <t>种子版占比</t>
        </is>
      </c>
      <c r="C18" s="7" t="n">
        <v>0.3</v>
      </c>
      <c r="D18" s="6" t="inlineStr">
        <is>
          <t>%</t>
        </is>
      </c>
      <c r="E18" s="3" t="inlineStr"/>
    </row>
    <row r="19">
      <c r="B19" s="3" t="inlineStr">
        <is>
          <t>经营版占比</t>
        </is>
      </c>
      <c r="C19" s="7" t="n">
        <v>0.55</v>
      </c>
      <c r="D19" s="6" t="inlineStr">
        <is>
          <t>%</t>
        </is>
      </c>
      <c r="E19" s="3" t="inlineStr"/>
    </row>
    <row r="20">
      <c r="B20" s="3" t="inlineStr">
        <is>
          <t>旗舰版占比</t>
        </is>
      </c>
      <c r="C20" s="7" t="n">
        <v>0.15</v>
      </c>
      <c r="D20" s="6" t="inlineStr">
        <is>
          <t>%</t>
        </is>
      </c>
      <c r="E20" s="3" t="inlineStr"/>
    </row>
    <row r="21">
      <c r="B21" s="3" t="inlineStr">
        <is>
          <t>种子版均价(实施)</t>
        </is>
      </c>
      <c r="C21" s="8" t="n">
        <v>30000</v>
      </c>
      <c r="D21" s="6" t="inlineStr">
        <is>
          <t>元</t>
        </is>
      </c>
      <c r="E21" s="3" t="inlineStr">
        <is>
          <t>钢管/镀锌/开平/一体加权</t>
        </is>
      </c>
    </row>
    <row r="22">
      <c r="B22" s="3" t="inlineStr">
        <is>
          <t>种子版均价(月租)</t>
        </is>
      </c>
      <c r="C22" s="8" t="n">
        <v>5000</v>
      </c>
      <c r="D22" s="6" t="inlineStr">
        <is>
          <t>元</t>
        </is>
      </c>
      <c r="E22" s="3" t="inlineStr"/>
    </row>
    <row r="23">
      <c r="B23" s="3" t="inlineStr">
        <is>
          <t>经营版均价(实施)</t>
        </is>
      </c>
      <c r="C23" s="8" t="n">
        <v>90000</v>
      </c>
      <c r="D23" s="6" t="inlineStr">
        <is>
          <t>元</t>
        </is>
      </c>
      <c r="E23" s="3" t="inlineStr"/>
    </row>
    <row r="24">
      <c r="B24" s="3" t="inlineStr">
        <is>
          <t>经营版均价(月租)</t>
        </is>
      </c>
      <c r="C24" s="8" t="n">
        <v>12000</v>
      </c>
      <c r="D24" s="6" t="inlineStr">
        <is>
          <t>元</t>
        </is>
      </c>
      <c r="E24" s="3" t="inlineStr"/>
    </row>
    <row r="25">
      <c r="B25" s="3" t="inlineStr">
        <is>
          <t>旗舰版均价(实施)</t>
        </is>
      </c>
      <c r="C25" s="8" t="n">
        <v>230000</v>
      </c>
      <c r="D25" s="6" t="inlineStr">
        <is>
          <t>元</t>
        </is>
      </c>
      <c r="E25" s="3" t="inlineStr"/>
    </row>
    <row r="26">
      <c r="B26" s="3" t="inlineStr">
        <is>
          <t>旗舰版均价(月租)</t>
        </is>
      </c>
      <c r="C26" s="8" t="n">
        <v>35000</v>
      </c>
      <c r="D26" s="6" t="inlineStr">
        <is>
          <t>元</t>
        </is>
      </c>
      <c r="E26" s="3" t="inlineStr"/>
    </row>
    <row r="27">
      <c r="B27" s="3" t="inlineStr">
        <is>
          <t>12 期分期客户占比</t>
        </is>
      </c>
      <c r="C27" s="7" t="n">
        <v>0.7</v>
      </c>
      <c r="D27" s="6" t="inlineStr">
        <is>
          <t>%</t>
        </is>
      </c>
      <c r="E27" s="3" t="inlineStr">
        <is>
          <t>选 12 期分期的客户比例</t>
        </is>
      </c>
    </row>
    <row r="28">
      <c r="B28" s="3" t="inlineStr">
        <is>
          <t>年付折扣客户占比</t>
        </is>
      </c>
      <c r="C28" s="7" t="n">
        <v>0.1</v>
      </c>
      <c r="D28" s="6" t="inlineStr">
        <is>
          <t>%</t>
        </is>
      </c>
      <c r="E28" s="3" t="inlineStr">
        <is>
          <t>选年付 9 折的比例</t>
        </is>
      </c>
    </row>
    <row r="30">
      <c r="B30" s="4" t="inlineStr">
        <is>
          <t>四、续费与流失</t>
        </is>
      </c>
    </row>
    <row r="31">
      <c r="B31" s="3" t="inlineStr">
        <is>
          <t>月度客户流失率</t>
        </is>
      </c>
      <c r="C31" s="7" t="n">
        <v>0.015</v>
      </c>
      <c r="D31" s="6" t="inlineStr">
        <is>
          <t>%</t>
        </is>
      </c>
      <c r="E31" s="3" t="inlineStr">
        <is>
          <t>1.5% / 月，相当于年流失 16%</t>
        </is>
      </c>
    </row>
    <row r="33">
      <c r="B33" s="4" t="inlineStr">
        <is>
          <t>五、人力成本（月薪含五险一金）</t>
        </is>
      </c>
    </row>
    <row r="34">
      <c r="B34" s="3" t="inlineStr">
        <is>
          <t>CMO（前 6 月空缺，老板兼）</t>
        </is>
      </c>
      <c r="C34" s="8" t="n">
        <v>0</v>
      </c>
      <c r="D34" s="6" t="inlineStr">
        <is>
          <t>元</t>
        </is>
      </c>
      <c r="E34" s="3" t="inlineStr">
        <is>
          <t>前 6 月不计；7 月起按 40000</t>
        </is>
      </c>
    </row>
    <row r="35">
      <c r="B35" s="3" t="inlineStr">
        <is>
          <t>销售总监 × 2</t>
        </is>
      </c>
      <c r="C35" s="8" t="n">
        <v>44000</v>
      </c>
      <c r="D35" s="6" t="inlineStr">
        <is>
          <t>元</t>
        </is>
      </c>
      <c r="E35" s="3" t="inlineStr">
        <is>
          <t>每人 22000</t>
        </is>
      </c>
    </row>
    <row r="36">
      <c r="B36" s="3" t="inlineStr">
        <is>
          <t>销售 × 2-4</t>
        </is>
      </c>
      <c r="C36" s="8" t="n">
        <v>48000</v>
      </c>
      <c r="D36" s="6" t="inlineStr">
        <is>
          <t>元</t>
        </is>
      </c>
      <c r="E36" s="3" t="inlineStr">
        <is>
          <t>前 6 月 2 人、7 月起 4 人，简化按 4</t>
        </is>
      </c>
    </row>
    <row r="37">
      <c r="B37" s="3" t="inlineStr">
        <is>
          <t>售前 × 2</t>
        </is>
      </c>
      <c r="C37" s="8" t="n">
        <v>28000</v>
      </c>
      <c r="D37" s="6" t="inlineStr">
        <is>
          <t>元</t>
        </is>
      </c>
      <c r="E37" s="3" t="inlineStr"/>
    </row>
    <row r="38">
      <c r="B38" s="3" t="inlineStr">
        <is>
          <t>实施顾问 × 2</t>
        </is>
      </c>
      <c r="C38" s="8" t="n">
        <v>32000</v>
      </c>
      <c r="D38" s="6" t="inlineStr">
        <is>
          <t>元</t>
        </is>
      </c>
      <c r="E38" s="3" t="inlineStr"/>
    </row>
    <row r="39">
      <c r="B39" s="3" t="inlineStr">
        <is>
          <t>地推 × 2</t>
        </is>
      </c>
      <c r="C39" s="8" t="n">
        <v>14000</v>
      </c>
      <c r="D39" s="6" t="inlineStr">
        <is>
          <t>元</t>
        </is>
      </c>
      <c r="E39" s="3" t="inlineStr">
        <is>
          <t>底薪，提成在动作变量</t>
        </is>
      </c>
    </row>
    <row r="40">
      <c r="B40" s="3" t="inlineStr">
        <is>
          <t>销售运营经理</t>
        </is>
      </c>
      <c r="C40" s="8" t="n">
        <v>12000</v>
      </c>
      <c r="D40" s="6" t="inlineStr">
        <is>
          <t>元</t>
        </is>
      </c>
      <c r="E40" s="3" t="inlineStr"/>
    </row>
    <row r="41">
      <c r="B41" s="3" t="inlineStr">
        <is>
          <t>合伙人运营专员</t>
        </is>
      </c>
      <c r="C41" s="8" t="n">
        <v>10000</v>
      </c>
      <c r="D41" s="6" t="inlineStr">
        <is>
          <t>元</t>
        </is>
      </c>
      <c r="E41" s="3" t="inlineStr"/>
    </row>
    <row r="42">
      <c r="B42" s="3" t="inlineStr">
        <is>
          <t>市场/内容</t>
        </is>
      </c>
      <c r="C42" s="8" t="n">
        <v>13000</v>
      </c>
      <c r="D42" s="6" t="inlineStr">
        <is>
          <t>元</t>
        </is>
      </c>
      <c r="E42" s="3" t="inlineStr"/>
    </row>
    <row r="43">
      <c r="B43" s="3" t="inlineStr">
        <is>
          <t>行政/商务</t>
        </is>
      </c>
      <c r="C43" s="8" t="n">
        <v>8000</v>
      </c>
      <c r="D43" s="6" t="inlineStr">
        <is>
          <t>元</t>
        </is>
      </c>
      <c r="E43" s="3" t="inlineStr"/>
    </row>
    <row r="45">
      <c r="B45" s="4" t="inlineStr">
        <is>
          <t>六、营销成本（每月）</t>
        </is>
      </c>
    </row>
    <row r="46">
      <c r="B46" s="3" t="inlineStr">
        <is>
          <t>内容制作（公众号/视频）</t>
        </is>
      </c>
      <c r="C46" s="8" t="n">
        <v>20000</v>
      </c>
      <c r="D46" s="6" t="inlineStr">
        <is>
          <t>元/月</t>
        </is>
      </c>
      <c r="E46" s="3" t="inlineStr"/>
    </row>
    <row r="47">
      <c r="B47" s="3" t="inlineStr">
        <is>
          <t>地推物料 + 提成</t>
        </is>
      </c>
      <c r="C47" s="8" t="n">
        <v>15000</v>
      </c>
      <c r="D47" s="6" t="inlineStr">
        <is>
          <t>元/月</t>
        </is>
      </c>
      <c r="E47" s="3" t="inlineStr"/>
    </row>
    <row r="48">
      <c r="B48" s="3" t="inlineStr">
        <is>
          <t>线上投放（抖音/小红书）</t>
        </is>
      </c>
      <c r="C48" s="8" t="n">
        <v>15000</v>
      </c>
      <c r="D48" s="6" t="inlineStr">
        <is>
          <t>元/月</t>
        </is>
      </c>
      <c r="E48" s="3" t="inlineStr">
        <is>
          <t>可选</t>
        </is>
      </c>
    </row>
    <row r="49">
      <c r="B49" s="3" t="inlineStr">
        <is>
          <t>白皮书/活动物料</t>
        </is>
      </c>
      <c r="C49" s="8" t="n">
        <v>10000</v>
      </c>
      <c r="D49" s="6" t="inlineStr">
        <is>
          <t>元/月</t>
        </is>
      </c>
      <c r="E49" s="3" t="inlineStr">
        <is>
          <t>摊销</t>
        </is>
      </c>
    </row>
    <row r="50">
      <c r="B50" s="3" t="inlineStr">
        <is>
          <t>CRM/工具/服务器</t>
        </is>
      </c>
      <c r="C50" s="8" t="n">
        <v>5000</v>
      </c>
      <c r="D50" s="6" t="inlineStr">
        <is>
          <t>元/月</t>
        </is>
      </c>
      <c r="E50" s="3" t="inlineStr"/>
    </row>
    <row r="52">
      <c r="B52" s="4" t="inlineStr">
        <is>
          <t>七、老板局（每场）</t>
        </is>
      </c>
    </row>
    <row r="53">
      <c r="B53" s="3" t="inlineStr">
        <is>
          <t>老板局每场预算</t>
        </is>
      </c>
      <c r="C53" s="8" t="n">
        <v>50000</v>
      </c>
      <c r="D53" s="6" t="inlineStr">
        <is>
          <t>元/场</t>
        </is>
      </c>
      <c r="E53" s="3" t="inlineStr">
        <is>
          <t>见 docs/05</t>
        </is>
      </c>
    </row>
    <row r="54">
      <c r="B54" s="3" t="inlineStr">
        <is>
          <t>年办场次</t>
        </is>
      </c>
      <c r="C54" s="9" t="n">
        <v>4</v>
      </c>
      <c r="D54" s="6" t="inlineStr">
        <is>
          <t>场/年</t>
        </is>
      </c>
      <c r="E54" s="3" t="inlineStr"/>
    </row>
    <row r="56">
      <c r="B56" s="4" t="inlineStr">
        <is>
          <t>八、灯塔厂补贴（一次性，分摊）</t>
        </is>
      </c>
    </row>
    <row r="57">
      <c r="B57" s="3" t="inlineStr">
        <is>
          <t>灯塔厂数量</t>
        </is>
      </c>
      <c r="C57" s="9" t="n">
        <v>4</v>
      </c>
      <c r="D57" s="6" t="inlineStr">
        <is>
          <t>家</t>
        </is>
      </c>
      <c r="E57" s="3" t="inlineStr"/>
    </row>
    <row r="58">
      <c r="B58" s="3" t="inlineStr">
        <is>
          <t>每家补贴</t>
        </is>
      </c>
      <c r="C58" s="8" t="n">
        <v>80000</v>
      </c>
      <c r="D58" s="6" t="inlineStr">
        <is>
          <t>元/家</t>
        </is>
      </c>
      <c r="E58" s="3" t="inlineStr">
        <is>
          <t>实施费打 5 折等损失</t>
        </is>
      </c>
    </row>
    <row r="59">
      <c r="B59" s="3" t="inlineStr">
        <is>
          <t>摊销月数</t>
        </is>
      </c>
      <c r="C59" s="9" t="n">
        <v>12</v>
      </c>
      <c r="D59" s="6" t="inlineStr">
        <is>
          <t>月</t>
        </is>
      </c>
      <c r="E59" s="3" t="inlineStr"/>
    </row>
    <row r="61">
      <c r="B61" s="4" t="inlineStr">
        <is>
          <t>九、提成（销售 8% 实施费 + 3% 月租 12 月）</t>
        </is>
      </c>
    </row>
    <row r="62">
      <c r="B62" s="3" t="inlineStr">
        <is>
          <t>销售实施费提成</t>
        </is>
      </c>
      <c r="C62" s="7" t="n">
        <v>0.08</v>
      </c>
      <c r="D62" s="6" t="inlineStr">
        <is>
          <t>%</t>
        </is>
      </c>
      <c r="E62" s="3" t="inlineStr"/>
    </row>
    <row r="63">
      <c r="B63" s="3" t="inlineStr">
        <is>
          <t>销售月租提成</t>
        </is>
      </c>
      <c r="C63" s="7" t="n">
        <v>0.03</v>
      </c>
      <c r="D63" s="6" t="inlineStr">
        <is>
          <t>%</t>
        </is>
      </c>
      <c r="E63" s="3" t="inlineStr">
        <is>
          <t>前 12 个月</t>
        </is>
      </c>
    </row>
    <row r="64">
      <c r="B64" s="3" t="inlineStr">
        <is>
          <t>售前实施费提成</t>
        </is>
      </c>
      <c r="C64" s="7" t="n">
        <v>0.03</v>
      </c>
      <c r="D64" s="6" t="inlineStr">
        <is>
          <t>%</t>
        </is>
      </c>
      <c r="E64" s="3" t="inlineStr"/>
    </row>
    <row r="65">
      <c r="B65" s="3" t="inlineStr">
        <is>
          <t>售前月租提成</t>
        </is>
      </c>
      <c r="C65" s="7" t="n">
        <v>0.01</v>
      </c>
      <c r="D65" s="6" t="inlineStr">
        <is>
          <t>%</t>
        </is>
      </c>
      <c r="E65" s="3" t="inlineStr">
        <is>
          <t>前 6 月</t>
        </is>
      </c>
    </row>
  </sheetData>
  <mergeCells count="10">
    <mergeCell ref="B45:E45"/>
    <mergeCell ref="B17:E17"/>
    <mergeCell ref="B56:E56"/>
    <mergeCell ref="B61:E61"/>
    <mergeCell ref="B4:E4"/>
    <mergeCell ref="B52:E52"/>
    <mergeCell ref="B30:E30"/>
    <mergeCell ref="B33:E33"/>
    <mergeCell ref="B11:E11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月度漏斗（自动计算 12 个月）</t>
        </is>
      </c>
    </row>
    <row r="3">
      <c r="A3" s="10" t="inlineStr">
        <is>
          <t>指标</t>
        </is>
      </c>
      <c r="B3" s="10" t="inlineStr">
        <is>
          <t>M1</t>
        </is>
      </c>
      <c r="C3" s="10" t="inlineStr">
        <is>
          <t>M2</t>
        </is>
      </c>
      <c r="D3" s="10" t="inlineStr">
        <is>
          <t>M3</t>
        </is>
      </c>
      <c r="E3" s="10" t="inlineStr">
        <is>
          <t>M4</t>
        </is>
      </c>
      <c r="F3" s="10" t="inlineStr">
        <is>
          <t>M5</t>
        </is>
      </c>
      <c r="G3" s="10" t="inlineStr">
        <is>
          <t>M6</t>
        </is>
      </c>
      <c r="H3" s="10" t="inlineStr">
        <is>
          <t>M7</t>
        </is>
      </c>
      <c r="I3" s="10" t="inlineStr">
        <is>
          <t>M8</t>
        </is>
      </c>
      <c r="J3" s="10" t="inlineStr">
        <is>
          <t>M9</t>
        </is>
      </c>
      <c r="K3" s="10" t="inlineStr">
        <is>
          <t>M10</t>
        </is>
      </c>
      <c r="L3" s="10" t="inlineStr">
        <is>
          <t>M11</t>
        </is>
      </c>
      <c r="M3" s="10" t="inlineStr">
        <is>
          <t>M12</t>
        </is>
      </c>
      <c r="N3" s="10" t="inlineStr">
        <is>
          <t>全年合计</t>
        </is>
      </c>
    </row>
    <row r="4">
      <c r="A4" s="11" t="inlineStr">
        <is>
          <t>地推线索</t>
        </is>
      </c>
      <c r="B4" s="6">
        <f>ROUND('关键假设'!$C$5*0.3,0)</f>
        <v/>
      </c>
      <c r="C4" s="6">
        <f>ROUND('关键假设'!$C$5*0.45,0)</f>
        <v/>
      </c>
      <c r="D4" s="6">
        <f>ROUND('关键假设'!$C$5*0.6,0)</f>
        <v/>
      </c>
      <c r="E4" s="6">
        <f>ROUND('关键假设'!$C$5*0.75,0)</f>
        <v/>
      </c>
      <c r="F4" s="6">
        <f>ROUND('关键假设'!$C$5*0.85,0)</f>
        <v/>
      </c>
      <c r="G4" s="6">
        <f>ROUND('关键假设'!$C$5*1.0,0)</f>
        <v/>
      </c>
      <c r="H4" s="6">
        <f>ROUND('关键假设'!$C$5*1.1,0)</f>
        <v/>
      </c>
      <c r="I4" s="6">
        <f>ROUND('关键假设'!$C$5*1.2,0)</f>
        <v/>
      </c>
      <c r="J4" s="6">
        <f>ROUND('关键假设'!$C$5*1.3,0)</f>
        <v/>
      </c>
      <c r="K4" s="6">
        <f>ROUND('关键假设'!$C$5*1.35,0)</f>
        <v/>
      </c>
      <c r="L4" s="6">
        <f>ROUND('关键假设'!$C$5*1.4,0)</f>
        <v/>
      </c>
      <c r="M4" s="6">
        <f>ROUND('关键假设'!$C$5*1.45,0)</f>
        <v/>
      </c>
      <c r="N4" s="12">
        <f>SUM(B4:M4)</f>
        <v/>
      </c>
    </row>
    <row r="5">
      <c r="A5" s="11" t="inlineStr">
        <is>
          <t>老板局线索</t>
        </is>
      </c>
      <c r="B5" s="6">
        <f>ROUND('关键假设'!$C$6*0,0)</f>
        <v/>
      </c>
      <c r="C5" s="6">
        <f>ROUND('关键假设'!$C$6*0,0)</f>
        <v/>
      </c>
      <c r="D5" s="6">
        <f>ROUND('关键假设'!$C$6*0.5,0)</f>
        <v/>
      </c>
      <c r="E5" s="6">
        <f>ROUND('关键假设'!$C$6*0.5,0)</f>
        <v/>
      </c>
      <c r="F5" s="6">
        <f>ROUND('关键假设'!$C$6*1,0)</f>
        <v/>
      </c>
      <c r="G5" s="6">
        <f>ROUND('关键假设'!$C$6*1,0)</f>
        <v/>
      </c>
      <c r="H5" s="6">
        <f>ROUND('关键假设'!$C$6*1,0)</f>
        <v/>
      </c>
      <c r="I5" s="6">
        <f>ROUND('关键假设'!$C$6*1,0)</f>
        <v/>
      </c>
      <c r="J5" s="6">
        <f>ROUND('关键假设'!$C$6*1,0)</f>
        <v/>
      </c>
      <c r="K5" s="6">
        <f>ROUND('关键假设'!$C$6*1,0)</f>
        <v/>
      </c>
      <c r="L5" s="6">
        <f>ROUND('关键假设'!$C$6*1,0)</f>
        <v/>
      </c>
      <c r="M5" s="6">
        <f>ROUND('关键假设'!$C$6*1,0)</f>
        <v/>
      </c>
      <c r="N5" s="12">
        <f>SUM(B5:M5)</f>
        <v/>
      </c>
    </row>
    <row r="6">
      <c r="A6" s="11" t="inlineStr">
        <is>
          <t>合伙人推荐</t>
        </is>
      </c>
      <c r="B6" s="6">
        <f>ROUND('关键假设'!$C$7*0.1,0)</f>
        <v/>
      </c>
      <c r="C6" s="6">
        <f>ROUND('关键假设'!$C$7*0.2,0)</f>
        <v/>
      </c>
      <c r="D6" s="6">
        <f>ROUND('关键假设'!$C$7*0.4,0)</f>
        <v/>
      </c>
      <c r="E6" s="6">
        <f>ROUND('关键假设'!$C$7*0.6,0)</f>
        <v/>
      </c>
      <c r="F6" s="6">
        <f>ROUND('关键假设'!$C$7*0.7,0)</f>
        <v/>
      </c>
      <c r="G6" s="6">
        <f>ROUND('关键假设'!$C$7*0.8,0)</f>
        <v/>
      </c>
      <c r="H6" s="6">
        <f>ROUND('关键假设'!$C$7*0.9,0)</f>
        <v/>
      </c>
      <c r="I6" s="6">
        <f>ROUND('关键假设'!$C$7*1.0,0)</f>
        <v/>
      </c>
      <c r="J6" s="6">
        <f>ROUND('关键假设'!$C$7*1.0,0)</f>
        <v/>
      </c>
      <c r="K6" s="6">
        <f>ROUND('关键假设'!$C$7*1.0,0)</f>
        <v/>
      </c>
      <c r="L6" s="6">
        <f>ROUND('关键假设'!$C$7*1.0,0)</f>
        <v/>
      </c>
      <c r="M6" s="6">
        <f>ROUND('关键假设'!$C$7*1.0,0)</f>
        <v/>
      </c>
      <c r="N6" s="12">
        <f>SUM(B6:M6)</f>
        <v/>
      </c>
    </row>
    <row r="7">
      <c r="A7" s="11" t="inlineStr">
        <is>
          <t>灯塔厂转介绍</t>
        </is>
      </c>
      <c r="B7" s="6">
        <f>ROUND('关键假设'!$C$8*0,0)</f>
        <v/>
      </c>
      <c r="C7" s="6">
        <f>ROUND('关键假设'!$C$8*0,0)</f>
        <v/>
      </c>
      <c r="D7" s="6">
        <f>ROUND('关键假设'!$C$8*0,0)</f>
        <v/>
      </c>
      <c r="E7" s="6">
        <f>ROUND('关键假设'!$C$8*0,0)</f>
        <v/>
      </c>
      <c r="F7" s="6">
        <f>ROUND('关键假设'!$C$8*0.3,0)</f>
        <v/>
      </c>
      <c r="G7" s="6">
        <f>ROUND('关键假设'!$C$8*0.5,0)</f>
        <v/>
      </c>
      <c r="H7" s="6">
        <f>ROUND('关键假设'!$C$8*0.8,0)</f>
        <v/>
      </c>
      <c r="I7" s="6">
        <f>ROUND('关键假设'!$C$8*1.0,0)</f>
        <v/>
      </c>
      <c r="J7" s="6">
        <f>ROUND('关键假设'!$C$8*1.0,0)</f>
        <v/>
      </c>
      <c r="K7" s="6">
        <f>ROUND('关键假设'!$C$8*1.0,0)</f>
        <v/>
      </c>
      <c r="L7" s="6">
        <f>ROUND('关键假设'!$C$8*1.0,0)</f>
        <v/>
      </c>
      <c r="M7" s="6">
        <f>ROUND('关键假设'!$C$8*1.0,0)</f>
        <v/>
      </c>
      <c r="N7" s="12">
        <f>SUM(B7:M7)</f>
        <v/>
      </c>
    </row>
    <row r="8">
      <c r="A8" s="11" t="inlineStr">
        <is>
          <t>内容/线上</t>
        </is>
      </c>
      <c r="B8" s="6">
        <f>ROUND('关键假设'!$C$9*0.3,0)</f>
        <v/>
      </c>
      <c r="C8" s="6">
        <f>ROUND('关键假设'!$C$9*0.45,0)</f>
        <v/>
      </c>
      <c r="D8" s="6">
        <f>ROUND('关键假设'!$C$9*0.6,0)</f>
        <v/>
      </c>
      <c r="E8" s="6">
        <f>ROUND('关键假设'!$C$9*0.75,0)</f>
        <v/>
      </c>
      <c r="F8" s="6">
        <f>ROUND('关键假设'!$C$9*0.85,0)</f>
        <v/>
      </c>
      <c r="G8" s="6">
        <f>ROUND('关键假设'!$C$9*1.0,0)</f>
        <v/>
      </c>
      <c r="H8" s="6">
        <f>ROUND('关键假设'!$C$9*1.1,0)</f>
        <v/>
      </c>
      <c r="I8" s="6">
        <f>ROUND('关键假设'!$C$9*1.2,0)</f>
        <v/>
      </c>
      <c r="J8" s="6">
        <f>ROUND('关键假设'!$C$9*1.3,0)</f>
        <v/>
      </c>
      <c r="K8" s="6">
        <f>ROUND('关键假设'!$C$9*1.35,0)</f>
        <v/>
      </c>
      <c r="L8" s="6">
        <f>ROUND('关键假设'!$C$9*1.4,0)</f>
        <v/>
      </c>
      <c r="M8" s="6">
        <f>ROUND('关键假设'!$C$9*1.45,0)</f>
        <v/>
      </c>
      <c r="N8" s="12">
        <f>SUM(B8:M8)</f>
        <v/>
      </c>
    </row>
    <row r="9">
      <c r="A9" s="11" t="inlineStr">
        <is>
          <t>月度总线索</t>
        </is>
      </c>
      <c r="B9" s="13">
        <f>SUM(B4:B8)</f>
        <v/>
      </c>
      <c r="C9" s="13">
        <f>SUM(C4:C8)</f>
        <v/>
      </c>
      <c r="D9" s="13">
        <f>SUM(D4:D8)</f>
        <v/>
      </c>
      <c r="E9" s="13">
        <f>SUM(E4:E8)</f>
        <v/>
      </c>
      <c r="F9" s="13">
        <f>SUM(F4:F8)</f>
        <v/>
      </c>
      <c r="G9" s="13">
        <f>SUM(G4:G8)</f>
        <v/>
      </c>
      <c r="H9" s="13">
        <f>SUM(H4:H8)</f>
        <v/>
      </c>
      <c r="I9" s="13">
        <f>SUM(I4:I8)</f>
        <v/>
      </c>
      <c r="J9" s="13">
        <f>SUM(J4:J8)</f>
        <v/>
      </c>
      <c r="K9" s="13">
        <f>SUM(K4:K8)</f>
        <v/>
      </c>
      <c r="L9" s="13">
        <f>SUM(L4:L8)</f>
        <v/>
      </c>
      <c r="M9" s="13">
        <f>SUM(M4:M8)</f>
        <v/>
      </c>
      <c r="N9" s="12">
        <f>SUM(B9:M9)</f>
        <v/>
      </c>
    </row>
    <row r="10">
      <c r="A10" s="11" t="inlineStr">
        <is>
          <t>MQL（添加微信）</t>
        </is>
      </c>
      <c r="B10" s="6">
        <f>ROUND(B9*'关键假设'!$C$12,0)</f>
        <v/>
      </c>
      <c r="C10" s="6">
        <f>ROUND(C9*'关键假设'!$C$12,0)</f>
        <v/>
      </c>
      <c r="D10" s="6">
        <f>ROUND(D9*'关键假设'!$C$12,0)</f>
        <v/>
      </c>
      <c r="E10" s="6">
        <f>ROUND(E9*'关键假设'!$C$12,0)</f>
        <v/>
      </c>
      <c r="F10" s="6">
        <f>ROUND(F9*'关键假设'!$C$12,0)</f>
        <v/>
      </c>
      <c r="G10" s="6">
        <f>ROUND(G9*'关键假设'!$C$12,0)</f>
        <v/>
      </c>
      <c r="H10" s="6">
        <f>ROUND(H9*'关键假设'!$C$12,0)</f>
        <v/>
      </c>
      <c r="I10" s="6">
        <f>ROUND(I9*'关键假设'!$C$12,0)</f>
        <v/>
      </c>
      <c r="J10" s="6">
        <f>ROUND(J9*'关键假设'!$C$12,0)</f>
        <v/>
      </c>
      <c r="K10" s="6">
        <f>ROUND(K9*'关键假设'!$C$12,0)</f>
        <v/>
      </c>
      <c r="L10" s="6">
        <f>ROUND(L9*'关键假设'!$C$12,0)</f>
        <v/>
      </c>
      <c r="M10" s="6">
        <f>ROUND(M9*'关键假设'!$C$12,0)</f>
        <v/>
      </c>
      <c r="N10" s="12">
        <f>SUM(B10:M10)</f>
        <v/>
      </c>
    </row>
    <row r="11">
      <c r="A11" s="11" t="inlineStr">
        <is>
          <t>SQL（约访成功）</t>
        </is>
      </c>
      <c r="B11" s="6">
        <f>ROUND(B10*'关键假设'!$C$13,0)</f>
        <v/>
      </c>
      <c r="C11" s="6">
        <f>ROUND(C10*'关键假设'!$C$13,0)</f>
        <v/>
      </c>
      <c r="D11" s="6">
        <f>ROUND(D10*'关键假设'!$C$13,0)</f>
        <v/>
      </c>
      <c r="E11" s="6">
        <f>ROUND(E10*'关键假设'!$C$13,0)</f>
        <v/>
      </c>
      <c r="F11" s="6">
        <f>ROUND(F10*'关键假设'!$C$13,0)</f>
        <v/>
      </c>
      <c r="G11" s="6">
        <f>ROUND(G10*'关键假设'!$C$13,0)</f>
        <v/>
      </c>
      <c r="H11" s="6">
        <f>ROUND(H10*'关键假设'!$C$13,0)</f>
        <v/>
      </c>
      <c r="I11" s="6">
        <f>ROUND(I10*'关键假设'!$C$13,0)</f>
        <v/>
      </c>
      <c r="J11" s="6">
        <f>ROUND(J10*'关键假设'!$C$13,0)</f>
        <v/>
      </c>
      <c r="K11" s="6">
        <f>ROUND(K10*'关键假设'!$C$13,0)</f>
        <v/>
      </c>
      <c r="L11" s="6">
        <f>ROUND(L10*'关键假设'!$C$13,0)</f>
        <v/>
      </c>
      <c r="M11" s="6">
        <f>ROUND(M10*'关键假设'!$C$13,0)</f>
        <v/>
      </c>
      <c r="N11" s="12">
        <f>SUM(B11:M11)</f>
        <v/>
      </c>
    </row>
    <row r="12">
      <c r="A12" s="11" t="inlineStr">
        <is>
          <t>POC 启动</t>
        </is>
      </c>
      <c r="B12" s="6">
        <f>ROUND(B11*'关键假设'!$C$14,0)</f>
        <v/>
      </c>
      <c r="C12" s="6">
        <f>ROUND(C11*'关键假设'!$C$14,0)</f>
        <v/>
      </c>
      <c r="D12" s="6">
        <f>ROUND(D11*'关键假设'!$C$14,0)</f>
        <v/>
      </c>
      <c r="E12" s="6">
        <f>ROUND(E11*'关键假设'!$C$14,0)</f>
        <v/>
      </c>
      <c r="F12" s="6">
        <f>ROUND(F11*'关键假设'!$C$14,0)</f>
        <v/>
      </c>
      <c r="G12" s="6">
        <f>ROUND(G11*'关键假设'!$C$14,0)</f>
        <v/>
      </c>
      <c r="H12" s="6">
        <f>ROUND(H11*'关键假设'!$C$14,0)</f>
        <v/>
      </c>
      <c r="I12" s="6">
        <f>ROUND(I11*'关键假设'!$C$14,0)</f>
        <v/>
      </c>
      <c r="J12" s="6">
        <f>ROUND(J11*'关键假设'!$C$14,0)</f>
        <v/>
      </c>
      <c r="K12" s="6">
        <f>ROUND(K11*'关键假设'!$C$14,0)</f>
        <v/>
      </c>
      <c r="L12" s="6">
        <f>ROUND(L11*'关键假设'!$C$14,0)</f>
        <v/>
      </c>
      <c r="M12" s="6">
        <f>ROUND(M11*'关键假设'!$C$14,0)</f>
        <v/>
      </c>
      <c r="N12" s="12">
        <f>SUM(B12:M12)</f>
        <v/>
      </c>
    </row>
    <row r="13">
      <c r="A13" s="14" t="inlineStr">
        <is>
          <t>签约</t>
        </is>
      </c>
      <c r="B13" s="6">
        <f>ROUND(B12*'关键假设'!$C$15,0)</f>
        <v/>
      </c>
      <c r="C13" s="6">
        <f>ROUND(C12*'关键假设'!$C$15,0)</f>
        <v/>
      </c>
      <c r="D13" s="6">
        <f>ROUND(D12*'关键假设'!$C$15,0)</f>
        <v/>
      </c>
      <c r="E13" s="6">
        <f>ROUND(E12*'关键假设'!$C$15,0)</f>
        <v/>
      </c>
      <c r="F13" s="6">
        <f>ROUND(F12*'关键假设'!$C$15,0)</f>
        <v/>
      </c>
      <c r="G13" s="6">
        <f>ROUND(G12*'关键假设'!$C$15,0)</f>
        <v/>
      </c>
      <c r="H13" s="6">
        <f>ROUND(H12*'关键假设'!$C$15,0)</f>
        <v/>
      </c>
      <c r="I13" s="6">
        <f>ROUND(I12*'关键假设'!$C$15,0)</f>
        <v/>
      </c>
      <c r="J13" s="6">
        <f>ROUND(J12*'关键假设'!$C$15,0)</f>
        <v/>
      </c>
      <c r="K13" s="6">
        <f>ROUND(K12*'关键假设'!$C$15,0)</f>
        <v/>
      </c>
      <c r="L13" s="6">
        <f>ROUND(L12*'关键假设'!$C$15,0)</f>
        <v/>
      </c>
      <c r="M13" s="6">
        <f>ROUND(M12*'关键假设'!$C$15,0)</f>
        <v/>
      </c>
      <c r="N13" s="12">
        <f>SUM(B13:M13)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月度收入（自动计算）</t>
        </is>
      </c>
    </row>
    <row r="3">
      <c r="A3" s="10" t="inlineStr">
        <is>
          <t>指标</t>
        </is>
      </c>
      <c r="B3" s="10" t="inlineStr">
        <is>
          <t>M1</t>
        </is>
      </c>
      <c r="C3" s="10" t="inlineStr">
        <is>
          <t>M2</t>
        </is>
      </c>
      <c r="D3" s="10" t="inlineStr">
        <is>
          <t>M3</t>
        </is>
      </c>
      <c r="E3" s="10" t="inlineStr">
        <is>
          <t>M4</t>
        </is>
      </c>
      <c r="F3" s="10" t="inlineStr">
        <is>
          <t>M5</t>
        </is>
      </c>
      <c r="G3" s="10" t="inlineStr">
        <is>
          <t>M6</t>
        </is>
      </c>
      <c r="H3" s="10" t="inlineStr">
        <is>
          <t>M7</t>
        </is>
      </c>
      <c r="I3" s="10" t="inlineStr">
        <is>
          <t>M8</t>
        </is>
      </c>
      <c r="J3" s="10" t="inlineStr">
        <is>
          <t>M9</t>
        </is>
      </c>
      <c r="K3" s="10" t="inlineStr">
        <is>
          <t>M10</t>
        </is>
      </c>
      <c r="L3" s="10" t="inlineStr">
        <is>
          <t>M11</t>
        </is>
      </c>
      <c r="M3" s="10" t="inlineStr">
        <is>
          <t>M12</t>
        </is>
      </c>
      <c r="N3" s="10" t="inlineStr">
        <is>
          <t>全年合计</t>
        </is>
      </c>
    </row>
    <row r="4">
      <c r="A4" s="11" t="inlineStr">
        <is>
          <t>月度签约数</t>
        </is>
      </c>
      <c r="B4" s="13">
        <f>'月度漏斗'!B13</f>
        <v/>
      </c>
      <c r="C4" s="13">
        <f>'月度漏斗'!C13</f>
        <v/>
      </c>
      <c r="D4" s="13">
        <f>'月度漏斗'!D13</f>
        <v/>
      </c>
      <c r="E4" s="13">
        <f>'月度漏斗'!E13</f>
        <v/>
      </c>
      <c r="F4" s="13">
        <f>'月度漏斗'!F13</f>
        <v/>
      </c>
      <c r="G4" s="13">
        <f>'月度漏斗'!G13</f>
        <v/>
      </c>
      <c r="H4" s="13">
        <f>'月度漏斗'!H13</f>
        <v/>
      </c>
      <c r="I4" s="13">
        <f>'月度漏斗'!I13</f>
        <v/>
      </c>
      <c r="J4" s="13">
        <f>'月度漏斗'!J13</f>
        <v/>
      </c>
      <c r="K4" s="13">
        <f>'月度漏斗'!K13</f>
        <v/>
      </c>
      <c r="L4" s="13">
        <f>'月度漏斗'!L13</f>
        <v/>
      </c>
      <c r="M4" s="13">
        <f>'月度漏斗'!M13</f>
        <v/>
      </c>
      <c r="N4" s="12">
        <f>SUM(B4:M4)</f>
        <v/>
      </c>
    </row>
    <row r="5">
      <c r="A5" s="3" t="inlineStr">
        <is>
          <t>种子版签约</t>
        </is>
      </c>
      <c r="B5" s="6">
        <f>B4*'关键假设'!$C$18</f>
        <v/>
      </c>
      <c r="C5" s="6">
        <f>C4*'关键假设'!$C$18</f>
        <v/>
      </c>
      <c r="D5" s="6">
        <f>D4*'关键假设'!$C$18</f>
        <v/>
      </c>
      <c r="E5" s="6">
        <f>E4*'关键假设'!$C$18</f>
        <v/>
      </c>
      <c r="F5" s="6">
        <f>F4*'关键假设'!$C$18</f>
        <v/>
      </c>
      <c r="G5" s="6">
        <f>G4*'关键假设'!$C$18</f>
        <v/>
      </c>
      <c r="H5" s="6">
        <f>H4*'关键假设'!$C$18</f>
        <v/>
      </c>
      <c r="I5" s="6">
        <f>I4*'关键假设'!$C$18</f>
        <v/>
      </c>
      <c r="J5" s="6">
        <f>J4*'关键假设'!$C$18</f>
        <v/>
      </c>
      <c r="K5" s="6">
        <f>K4*'关键假设'!$C$18</f>
        <v/>
      </c>
      <c r="L5" s="6">
        <f>L4*'关键假设'!$C$18</f>
        <v/>
      </c>
      <c r="M5" s="6">
        <f>M4*'关键假设'!$C$18</f>
        <v/>
      </c>
      <c r="N5" s="12">
        <f>SUM(B5:M5)</f>
        <v/>
      </c>
    </row>
    <row r="6">
      <c r="A6" s="3" t="inlineStr">
        <is>
          <t>经营版签约</t>
        </is>
      </c>
      <c r="B6" s="6">
        <f>B4*'关键假设'!$C$19</f>
        <v/>
      </c>
      <c r="C6" s="6">
        <f>C4*'关键假设'!$C$19</f>
        <v/>
      </c>
      <c r="D6" s="6">
        <f>D4*'关键假设'!$C$19</f>
        <v/>
      </c>
      <c r="E6" s="6">
        <f>E4*'关键假设'!$C$19</f>
        <v/>
      </c>
      <c r="F6" s="6">
        <f>F4*'关键假设'!$C$19</f>
        <v/>
      </c>
      <c r="G6" s="6">
        <f>G4*'关键假设'!$C$19</f>
        <v/>
      </c>
      <c r="H6" s="6">
        <f>H4*'关键假设'!$C$19</f>
        <v/>
      </c>
      <c r="I6" s="6">
        <f>I4*'关键假设'!$C$19</f>
        <v/>
      </c>
      <c r="J6" s="6">
        <f>J4*'关键假设'!$C$19</f>
        <v/>
      </c>
      <c r="K6" s="6">
        <f>K4*'关键假设'!$C$19</f>
        <v/>
      </c>
      <c r="L6" s="6">
        <f>L4*'关键假设'!$C$19</f>
        <v/>
      </c>
      <c r="M6" s="6">
        <f>M4*'关键假设'!$C$19</f>
        <v/>
      </c>
      <c r="N6" s="12">
        <f>SUM(B6:M6)</f>
        <v/>
      </c>
    </row>
    <row r="7">
      <c r="A7" s="3" t="inlineStr">
        <is>
          <t>旗舰版签约</t>
        </is>
      </c>
      <c r="B7" s="6">
        <f>B4*'关键假设'!$C$20</f>
        <v/>
      </c>
      <c r="C7" s="6">
        <f>C4*'关键假设'!$C$20</f>
        <v/>
      </c>
      <c r="D7" s="6">
        <f>D4*'关键假设'!$C$20</f>
        <v/>
      </c>
      <c r="E7" s="6">
        <f>E4*'关键假设'!$C$20</f>
        <v/>
      </c>
      <c r="F7" s="6">
        <f>F4*'关键假设'!$C$20</f>
        <v/>
      </c>
      <c r="G7" s="6">
        <f>G4*'关键假设'!$C$20</f>
        <v/>
      </c>
      <c r="H7" s="6">
        <f>H4*'关键假设'!$C$20</f>
        <v/>
      </c>
      <c r="I7" s="6">
        <f>I4*'关键假设'!$C$20</f>
        <v/>
      </c>
      <c r="J7" s="6">
        <f>J4*'关键假设'!$C$20</f>
        <v/>
      </c>
      <c r="K7" s="6">
        <f>K4*'关键假设'!$C$20</f>
        <v/>
      </c>
      <c r="L7" s="6">
        <f>L4*'关键假设'!$C$20</f>
        <v/>
      </c>
      <c r="M7" s="6">
        <f>M4*'关键假设'!$C$20</f>
        <v/>
      </c>
      <c r="N7" s="12">
        <f>SUM(B7:M7)</f>
        <v/>
      </c>
    </row>
    <row r="8">
      <c r="A8" s="11" t="inlineStr">
        <is>
          <t>新增实施费合同额</t>
        </is>
      </c>
      <c r="B8" s="15">
        <f>B5*'关键假设'!$C$21+B6*'关键假设'!$C$23+B7*'关键假设'!$C$25</f>
        <v/>
      </c>
      <c r="C8" s="15">
        <f>C5*'关键假设'!$C$21+C6*'关键假设'!$C$23+C7*'关键假设'!$C$25</f>
        <v/>
      </c>
      <c r="D8" s="15">
        <f>D5*'关键假设'!$C$21+D6*'关键假设'!$C$23+D7*'关键假设'!$C$25</f>
        <v/>
      </c>
      <c r="E8" s="15">
        <f>E5*'关键假设'!$C$21+E6*'关键假设'!$C$23+E7*'关键假设'!$C$25</f>
        <v/>
      </c>
      <c r="F8" s="15">
        <f>F5*'关键假设'!$C$21+F6*'关键假设'!$C$23+F7*'关键假设'!$C$25</f>
        <v/>
      </c>
      <c r="G8" s="15">
        <f>G5*'关键假设'!$C$21+G6*'关键假设'!$C$23+G7*'关键假设'!$C$25</f>
        <v/>
      </c>
      <c r="H8" s="15">
        <f>H5*'关键假设'!$C$21+H6*'关键假设'!$C$23+H7*'关键假设'!$C$25</f>
        <v/>
      </c>
      <c r="I8" s="15">
        <f>I5*'关键假设'!$C$21+I6*'关键假设'!$C$23+I7*'关键假设'!$C$25</f>
        <v/>
      </c>
      <c r="J8" s="15">
        <f>J5*'关键假设'!$C$21+J6*'关键假设'!$C$23+J7*'关键假设'!$C$25</f>
        <v/>
      </c>
      <c r="K8" s="15">
        <f>K5*'关键假设'!$C$21+K6*'关键假设'!$C$23+K7*'关键假设'!$C$25</f>
        <v/>
      </c>
      <c r="L8" s="15">
        <f>L5*'关键假设'!$C$21+L6*'关键假设'!$C$23+L7*'关键假设'!$C$25</f>
        <v/>
      </c>
      <c r="M8" s="15">
        <f>M5*'关键假设'!$C$21+M6*'关键假设'!$C$23+M7*'关键假设'!$C$25</f>
        <v/>
      </c>
      <c r="N8" s="16">
        <f>SUM(B8:M8)</f>
        <v/>
      </c>
    </row>
    <row r="9">
      <c r="A9" s="3" t="inlineStr">
        <is>
          <t>当月新增 MRR</t>
        </is>
      </c>
      <c r="B9" s="15">
        <f>B5*'关键假设'!$C$22+B6*'关键假设'!$C$24+B7*'关键假设'!$C$26</f>
        <v/>
      </c>
      <c r="C9" s="15">
        <f>C5*'关键假设'!$C$22+C6*'关键假设'!$C$24+C7*'关键假设'!$C$26</f>
        <v/>
      </c>
      <c r="D9" s="15">
        <f>D5*'关键假设'!$C$22+D6*'关键假设'!$C$24+D7*'关键假设'!$C$26</f>
        <v/>
      </c>
      <c r="E9" s="15">
        <f>E5*'关键假设'!$C$22+E6*'关键假设'!$C$24+E7*'关键假设'!$C$26</f>
        <v/>
      </c>
      <c r="F9" s="15">
        <f>F5*'关键假设'!$C$22+F6*'关键假设'!$C$24+F7*'关键假设'!$C$26</f>
        <v/>
      </c>
      <c r="G9" s="15">
        <f>G5*'关键假设'!$C$22+G6*'关键假设'!$C$24+G7*'关键假设'!$C$26</f>
        <v/>
      </c>
      <c r="H9" s="15">
        <f>H5*'关键假设'!$C$22+H6*'关键假设'!$C$24+H7*'关键假设'!$C$26</f>
        <v/>
      </c>
      <c r="I9" s="15">
        <f>I5*'关键假设'!$C$22+I6*'关键假设'!$C$24+I7*'关键假设'!$C$26</f>
        <v/>
      </c>
      <c r="J9" s="15">
        <f>J5*'关键假设'!$C$22+J6*'关键假设'!$C$24+J7*'关键假设'!$C$26</f>
        <v/>
      </c>
      <c r="K9" s="15">
        <f>K5*'关键假设'!$C$22+K6*'关键假设'!$C$24+K7*'关键假设'!$C$26</f>
        <v/>
      </c>
      <c r="L9" s="15">
        <f>L5*'关键假设'!$C$22+L6*'关键假设'!$C$24+L7*'关键假设'!$C$26</f>
        <v/>
      </c>
      <c r="M9" s="15">
        <f>M5*'关键假设'!$C$22+M6*'关键假设'!$C$24+M7*'关键假设'!$C$26</f>
        <v/>
      </c>
      <c r="N9" s="16">
        <f>SUM(B9:M9)</f>
        <v/>
      </c>
    </row>
    <row r="10">
      <c r="A10" s="11" t="inlineStr">
        <is>
          <t>累计 MRR（含流失）</t>
        </is>
      </c>
      <c r="B10" s="17">
        <f>B9</f>
        <v/>
      </c>
      <c r="C10" s="17">
        <f>B10*(1-'关键假设'!$C$31)+C9</f>
        <v/>
      </c>
      <c r="D10" s="17">
        <f>C10*(1-'关键假设'!$C$31)+D9</f>
        <v/>
      </c>
      <c r="E10" s="17">
        <f>D10*(1-'关键假设'!$C$31)+E9</f>
        <v/>
      </c>
      <c r="F10" s="17">
        <f>E10*(1-'关键假设'!$C$31)+F9</f>
        <v/>
      </c>
      <c r="G10" s="17">
        <f>F10*(1-'关键假设'!$C$31)+G9</f>
        <v/>
      </c>
      <c r="H10" s="17">
        <f>G10*(1-'关键假设'!$C$31)+H9</f>
        <v/>
      </c>
      <c r="I10" s="17">
        <f>H10*(1-'关键假设'!$C$31)+I9</f>
        <v/>
      </c>
      <c r="J10" s="17">
        <f>I10*(1-'关键假设'!$C$31)+J9</f>
        <v/>
      </c>
      <c r="K10" s="17">
        <f>J10*(1-'关键假设'!$C$31)+K9</f>
        <v/>
      </c>
      <c r="L10" s="17">
        <f>K10*(1-'关键假设'!$C$31)+L9</f>
        <v/>
      </c>
      <c r="M10" s="17">
        <f>L10*(1-'关键假设'!$C$31)+M9</f>
        <v/>
      </c>
      <c r="N10" s="18" t="inlineStr">
        <is>
          <t>—</t>
        </is>
      </c>
    </row>
    <row r="11">
      <c r="A11" s="3" t="inlineStr">
        <is>
          <t>月度月租收入</t>
        </is>
      </c>
      <c r="B11" s="15">
        <f>B10</f>
        <v/>
      </c>
      <c r="C11" s="15">
        <f>C10</f>
        <v/>
      </c>
      <c r="D11" s="15">
        <f>D10</f>
        <v/>
      </c>
      <c r="E11" s="15">
        <f>E10</f>
        <v/>
      </c>
      <c r="F11" s="15">
        <f>F10</f>
        <v/>
      </c>
      <c r="G11" s="15">
        <f>G10</f>
        <v/>
      </c>
      <c r="H11" s="15">
        <f>H10</f>
        <v/>
      </c>
      <c r="I11" s="15">
        <f>I10</f>
        <v/>
      </c>
      <c r="J11" s="15">
        <f>J10</f>
        <v/>
      </c>
      <c r="K11" s="15">
        <f>K10</f>
        <v/>
      </c>
      <c r="L11" s="15">
        <f>L10</f>
        <v/>
      </c>
      <c r="M11" s="15">
        <f>M10</f>
        <v/>
      </c>
      <c r="N11" s="16">
        <f>SUM(B11:M11)</f>
        <v/>
      </c>
    </row>
    <row r="12">
      <c r="A12" s="3" t="inlineStr">
        <is>
          <t>月度实施费现金回收</t>
        </is>
      </c>
      <c r="B12" s="15">
        <f>B8*0.3</f>
        <v/>
      </c>
      <c r="C12" s="15">
        <f>C8*0.3+B8*0.5</f>
        <v/>
      </c>
      <c r="D12" s="15">
        <f>D8*0.3+C8*0.5</f>
        <v/>
      </c>
      <c r="E12" s="15">
        <f>E8*0.3+D8*0.5+B8*0.2</f>
        <v/>
      </c>
      <c r="F12" s="15">
        <f>F8*0.3+E8*0.5+C8*0.2</f>
        <v/>
      </c>
      <c r="G12" s="15">
        <f>G8*0.3+F8*0.5+D8*0.2</f>
        <v/>
      </c>
      <c r="H12" s="15">
        <f>H8*0.3+G8*0.5+E8*0.2</f>
        <v/>
      </c>
      <c r="I12" s="15">
        <f>I8*0.3+H8*0.5+F8*0.2</f>
        <v/>
      </c>
      <c r="J12" s="15">
        <f>J8*0.3+I8*0.5+G8*0.2</f>
        <v/>
      </c>
      <c r="K12" s="15">
        <f>K8*0.3+J8*0.5+H8*0.2</f>
        <v/>
      </c>
      <c r="L12" s="15">
        <f>L8*0.3+K8*0.5+I8*0.2</f>
        <v/>
      </c>
      <c r="M12" s="15">
        <f>M8*0.3+L8*0.5+J8*0.2</f>
        <v/>
      </c>
      <c r="N12" s="16">
        <f>SUM(B12:M12)</f>
        <v/>
      </c>
    </row>
    <row r="13">
      <c r="A13" s="11" t="inlineStr">
        <is>
          <t>月度总现金收入</t>
        </is>
      </c>
      <c r="B13" s="16">
        <f>B11+B12</f>
        <v/>
      </c>
      <c r="C13" s="16">
        <f>C11+C12</f>
        <v/>
      </c>
      <c r="D13" s="16">
        <f>D11+D12</f>
        <v/>
      </c>
      <c r="E13" s="16">
        <f>E11+E12</f>
        <v/>
      </c>
      <c r="F13" s="16">
        <f>F11+F12</f>
        <v/>
      </c>
      <c r="G13" s="16">
        <f>G11+G12</f>
        <v/>
      </c>
      <c r="H13" s="16">
        <f>H11+H12</f>
        <v/>
      </c>
      <c r="I13" s="16">
        <f>I11+I12</f>
        <v/>
      </c>
      <c r="J13" s="16">
        <f>J11+J12</f>
        <v/>
      </c>
      <c r="K13" s="16">
        <f>K11+K12</f>
        <v/>
      </c>
      <c r="L13" s="16">
        <f>L11+L12</f>
        <v/>
      </c>
      <c r="M13" s="16">
        <f>M11+M12</f>
        <v/>
      </c>
      <c r="N13" s="16">
        <f>SUM(B13:M13)</f>
        <v/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月度成本（自动计算）</t>
        </is>
      </c>
    </row>
    <row r="3">
      <c r="A3" s="10" t="inlineStr">
        <is>
          <t>指标</t>
        </is>
      </c>
      <c r="B3" s="10" t="inlineStr">
        <is>
          <t>M1</t>
        </is>
      </c>
      <c r="C3" s="10" t="inlineStr">
        <is>
          <t>M2</t>
        </is>
      </c>
      <c r="D3" s="10" t="inlineStr">
        <is>
          <t>M3</t>
        </is>
      </c>
      <c r="E3" s="10" t="inlineStr">
        <is>
          <t>M4</t>
        </is>
      </c>
      <c r="F3" s="10" t="inlineStr">
        <is>
          <t>M5</t>
        </is>
      </c>
      <c r="G3" s="10" t="inlineStr">
        <is>
          <t>M6</t>
        </is>
      </c>
      <c r="H3" s="10" t="inlineStr">
        <is>
          <t>M7</t>
        </is>
      </c>
      <c r="I3" s="10" t="inlineStr">
        <is>
          <t>M8</t>
        </is>
      </c>
      <c r="J3" s="10" t="inlineStr">
        <is>
          <t>M9</t>
        </is>
      </c>
      <c r="K3" s="10" t="inlineStr">
        <is>
          <t>M10</t>
        </is>
      </c>
      <c r="L3" s="10" t="inlineStr">
        <is>
          <t>M11</t>
        </is>
      </c>
      <c r="M3" s="10" t="inlineStr">
        <is>
          <t>M12</t>
        </is>
      </c>
      <c r="N3" s="10" t="inlineStr">
        <is>
          <t>全年合计</t>
        </is>
      </c>
    </row>
    <row r="4">
      <c r="A4" s="11" t="inlineStr">
        <is>
          <t>人力成本</t>
        </is>
      </c>
      <c r="B4" s="15">
        <f>SUM('关键假设'!$C$35:$C$43)</f>
        <v/>
      </c>
      <c r="C4" s="15">
        <f>SUM('关键假设'!$C$35:$C$43)</f>
        <v/>
      </c>
      <c r="D4" s="15">
        <f>SUM('关键假设'!$C$35:$C$43)</f>
        <v/>
      </c>
      <c r="E4" s="15">
        <f>SUM('关键假设'!$C$35:$C$43)</f>
        <v/>
      </c>
      <c r="F4" s="15">
        <f>SUM('关键假设'!$C$35:$C$43)</f>
        <v/>
      </c>
      <c r="G4" s="15">
        <f>SUM('关键假设'!$C$35:$C$43)</f>
        <v/>
      </c>
      <c r="H4" s="15">
        <f>SUM('关键假设'!$C$35:$C$43) + 40000</f>
        <v/>
      </c>
      <c r="I4" s="15">
        <f>SUM('关键假设'!$C$35:$C$43) + 40000</f>
        <v/>
      </c>
      <c r="J4" s="15">
        <f>SUM('关键假设'!$C$35:$C$43) + 40000</f>
        <v/>
      </c>
      <c r="K4" s="15">
        <f>SUM('关键假设'!$C$35:$C$43) + 40000</f>
        <v/>
      </c>
      <c r="L4" s="15">
        <f>SUM('关键假设'!$C$35:$C$43) + 40000</f>
        <v/>
      </c>
      <c r="M4" s="15">
        <f>SUM('关键假设'!$C$35:$C$43) + 40000</f>
        <v/>
      </c>
      <c r="N4" s="16">
        <f>SUM(B4:M4)</f>
        <v/>
      </c>
    </row>
    <row r="5">
      <c r="A5" s="3" t="inlineStr">
        <is>
          <t>营销固定成本</t>
        </is>
      </c>
      <c r="B5" s="15">
        <f>SUM('关键假设'!$C$46:$C$50)</f>
        <v/>
      </c>
      <c r="C5" s="15">
        <f>SUM('关键假设'!$C$46:$C$50)</f>
        <v/>
      </c>
      <c r="D5" s="15">
        <f>SUM('关键假设'!$C$46:$C$50)</f>
        <v/>
      </c>
      <c r="E5" s="15">
        <f>SUM('关键假设'!$C$46:$C$50)</f>
        <v/>
      </c>
      <c r="F5" s="15">
        <f>SUM('关键假设'!$C$46:$C$50)</f>
        <v/>
      </c>
      <c r="G5" s="15">
        <f>SUM('关键假设'!$C$46:$C$50)</f>
        <v/>
      </c>
      <c r="H5" s="15">
        <f>SUM('关键假设'!$C$46:$C$50)</f>
        <v/>
      </c>
      <c r="I5" s="15">
        <f>SUM('关键假设'!$C$46:$C$50)</f>
        <v/>
      </c>
      <c r="J5" s="15">
        <f>SUM('关键假设'!$C$46:$C$50)</f>
        <v/>
      </c>
      <c r="K5" s="15">
        <f>SUM('关键假设'!$C$46:$C$50)</f>
        <v/>
      </c>
      <c r="L5" s="15">
        <f>SUM('关键假设'!$C$46:$C$50)</f>
        <v/>
      </c>
      <c r="M5" s="15">
        <f>SUM('关键假设'!$C$46:$C$50)</f>
        <v/>
      </c>
      <c r="N5" s="16">
        <f>SUM(B5:M5)</f>
        <v/>
      </c>
    </row>
    <row r="6">
      <c r="A6" s="3" t="inlineStr">
        <is>
          <t>老板局费用</t>
        </is>
      </c>
      <c r="B6" s="15">
        <f>0</f>
        <v/>
      </c>
      <c r="C6" s="15">
        <f>0</f>
        <v/>
      </c>
      <c r="D6" s="15">
        <f>'关键假设'!$C$53</f>
        <v/>
      </c>
      <c r="E6" s="15">
        <f>0</f>
        <v/>
      </c>
      <c r="F6" s="15">
        <f>0</f>
        <v/>
      </c>
      <c r="G6" s="15">
        <f>'关键假设'!$C$53</f>
        <v/>
      </c>
      <c r="H6" s="15">
        <f>0</f>
        <v/>
      </c>
      <c r="I6" s="15">
        <f>0</f>
        <v/>
      </c>
      <c r="J6" s="15">
        <f>'关键假设'!$C$53</f>
        <v/>
      </c>
      <c r="K6" s="15">
        <f>0</f>
        <v/>
      </c>
      <c r="L6" s="15">
        <f>0</f>
        <v/>
      </c>
      <c r="M6" s="15">
        <f>'关键假设'!$C$53</f>
        <v/>
      </c>
      <c r="N6" s="16">
        <f>SUM(B6:M6)</f>
        <v/>
      </c>
    </row>
    <row r="7">
      <c r="A7" s="3" t="inlineStr">
        <is>
          <t>灯塔厂补贴(摊销)</t>
        </is>
      </c>
      <c r="B7" s="15">
        <f>'关键假设'!$C$57*'关键假设'!$C$58/'关键假设'!$C$59</f>
        <v/>
      </c>
      <c r="C7" s="15">
        <f>'关键假设'!$C$57*'关键假设'!$C$58/'关键假设'!$C$59</f>
        <v/>
      </c>
      <c r="D7" s="15">
        <f>'关键假设'!$C$57*'关键假设'!$C$58/'关键假设'!$C$59</f>
        <v/>
      </c>
      <c r="E7" s="15">
        <f>'关键假设'!$C$57*'关键假设'!$C$58/'关键假设'!$C$59</f>
        <v/>
      </c>
      <c r="F7" s="15">
        <f>'关键假设'!$C$57*'关键假设'!$C$58/'关键假设'!$C$59</f>
        <v/>
      </c>
      <c r="G7" s="15">
        <f>'关键假设'!$C$57*'关键假设'!$C$58/'关键假设'!$C$59</f>
        <v/>
      </c>
      <c r="H7" s="15">
        <f>'关键假设'!$C$57*'关键假设'!$C$58/'关键假设'!$C$59</f>
        <v/>
      </c>
      <c r="I7" s="15">
        <f>'关键假设'!$C$57*'关键假设'!$C$58/'关键假设'!$C$59</f>
        <v/>
      </c>
      <c r="J7" s="15">
        <f>'关键假设'!$C$57*'关键假设'!$C$58/'关键假设'!$C$59</f>
        <v/>
      </c>
      <c r="K7" s="15">
        <f>'关键假设'!$C$57*'关键假设'!$C$58/'关键假设'!$C$59</f>
        <v/>
      </c>
      <c r="L7" s="15">
        <f>'关键假设'!$C$57*'关键假设'!$C$58/'关键假设'!$C$59</f>
        <v/>
      </c>
      <c r="M7" s="15">
        <f>'关键假设'!$C$57*'关键假设'!$C$58/'关键假设'!$C$59</f>
        <v/>
      </c>
      <c r="N7" s="16">
        <f>SUM(B7:M7)</f>
        <v/>
      </c>
    </row>
    <row r="8">
      <c r="A8" s="3" t="inlineStr">
        <is>
          <t>销售/售前提成</t>
        </is>
      </c>
      <c r="B8" s="15">
        <f>'月度收入'!B8*('关键假设'!$C$62+'关键假设'!$C$64) + '月度收入'!B11*('关键假设'!$C$63+'关键假设'!$C$65)</f>
        <v/>
      </c>
      <c r="C8" s="15">
        <f>'月度收入'!C8*('关键假设'!$C$62+'关键假设'!$C$64) + '月度收入'!C11*('关键假设'!$C$63+'关键假设'!$C$65)</f>
        <v/>
      </c>
      <c r="D8" s="15">
        <f>'月度收入'!D8*('关键假设'!$C$62+'关键假设'!$C$64) + '月度收入'!D11*('关键假设'!$C$63+'关键假设'!$C$65)</f>
        <v/>
      </c>
      <c r="E8" s="15">
        <f>'月度收入'!E8*('关键假设'!$C$62+'关键假设'!$C$64) + '月度收入'!E11*('关键假设'!$C$63+'关键假设'!$C$65)</f>
        <v/>
      </c>
      <c r="F8" s="15">
        <f>'月度收入'!F8*('关键假设'!$C$62+'关键假设'!$C$64) + '月度收入'!F11*('关键假设'!$C$63+'关键假设'!$C$65)</f>
        <v/>
      </c>
      <c r="G8" s="15">
        <f>'月度收入'!G8*('关键假设'!$C$62+'关键假设'!$C$64) + '月度收入'!G11*('关键假设'!$C$63+'关键假设'!$C$65)</f>
        <v/>
      </c>
      <c r="H8" s="15">
        <f>'月度收入'!H8*('关键假设'!$C$62+'关键假设'!$C$64) + '月度收入'!H11*('关键假设'!$C$63+'关键假设'!$C$65)</f>
        <v/>
      </c>
      <c r="I8" s="15">
        <f>'月度收入'!I8*('关键假设'!$C$62+'关键假设'!$C$64) + '月度收入'!I11*('关键假设'!$C$63+'关键假设'!$C$65)</f>
        <v/>
      </c>
      <c r="J8" s="15">
        <f>'月度收入'!J8*('关键假设'!$C$62+'关键假设'!$C$64) + '月度收入'!J11*('关键假设'!$C$63+'关键假设'!$C$65)</f>
        <v/>
      </c>
      <c r="K8" s="15">
        <f>'月度收入'!K8*('关键假设'!$C$62+'关键假设'!$C$64) + '月度收入'!K11*('关键假设'!$C$63+'关键假设'!$C$65)</f>
        <v/>
      </c>
      <c r="L8" s="15">
        <f>'月度收入'!L8*('关键假设'!$C$62+'关键假设'!$C$64) + '月度收入'!L11*('关键假设'!$C$63+'关键假设'!$C$65)</f>
        <v/>
      </c>
      <c r="M8" s="15">
        <f>'月度收入'!M8*('关键假设'!$C$62+'关键假设'!$C$64) + '月度收入'!M11*('关键假设'!$C$63+'关键假设'!$C$65)</f>
        <v/>
      </c>
      <c r="N8" s="16">
        <f>SUM(B8:M8)</f>
        <v/>
      </c>
    </row>
    <row r="9">
      <c r="A9" s="3" t="inlineStr">
        <is>
          <t>应急/杂费</t>
        </is>
      </c>
      <c r="B9" s="15" t="n">
        <v>5000</v>
      </c>
      <c r="C9" s="15" t="n">
        <v>5000</v>
      </c>
      <c r="D9" s="15" t="n">
        <v>5000</v>
      </c>
      <c r="E9" s="15" t="n">
        <v>5000</v>
      </c>
      <c r="F9" s="15" t="n">
        <v>5000</v>
      </c>
      <c r="G9" s="15" t="n">
        <v>5000</v>
      </c>
      <c r="H9" s="15" t="n">
        <v>5000</v>
      </c>
      <c r="I9" s="15" t="n">
        <v>5000</v>
      </c>
      <c r="J9" s="15" t="n">
        <v>5000</v>
      </c>
      <c r="K9" s="15" t="n">
        <v>5000</v>
      </c>
      <c r="L9" s="15" t="n">
        <v>5000</v>
      </c>
      <c r="M9" s="15" t="n">
        <v>5000</v>
      </c>
      <c r="N9" s="16">
        <f>SUM(B9:M9)</f>
        <v/>
      </c>
    </row>
    <row r="10">
      <c r="A10" s="4" t="inlineStr">
        <is>
          <t>月度总成本</t>
        </is>
      </c>
      <c r="B10" s="16">
        <f>SUM(B4:B9)</f>
        <v/>
      </c>
      <c r="C10" s="16">
        <f>SUM(C4:C9)</f>
        <v/>
      </c>
      <c r="D10" s="16">
        <f>SUM(D4:D9)</f>
        <v/>
      </c>
      <c r="E10" s="16">
        <f>SUM(E4:E9)</f>
        <v/>
      </c>
      <c r="F10" s="16">
        <f>SUM(F4:F9)</f>
        <v/>
      </c>
      <c r="G10" s="16">
        <f>SUM(G4:G9)</f>
        <v/>
      </c>
      <c r="H10" s="16">
        <f>SUM(H4:H9)</f>
        <v/>
      </c>
      <c r="I10" s="16">
        <f>SUM(I4:I9)</f>
        <v/>
      </c>
      <c r="J10" s="16">
        <f>SUM(J4:J9)</f>
        <v/>
      </c>
      <c r="K10" s="16">
        <f>SUM(K4:K9)</f>
        <v/>
      </c>
      <c r="L10" s="16">
        <f>SUM(L4:L9)</f>
        <v/>
      </c>
      <c r="M10" s="16">
        <f>SUM(M4:M9)</f>
        <v/>
      </c>
      <c r="N10" s="16">
        <f>SUM(B10:M10)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月度现金流（自动计算）</t>
        </is>
      </c>
    </row>
    <row r="3">
      <c r="A3" s="10" t="inlineStr">
        <is>
          <t>指标</t>
        </is>
      </c>
      <c r="B3" s="10" t="inlineStr">
        <is>
          <t>M1</t>
        </is>
      </c>
      <c r="C3" s="10" t="inlineStr">
        <is>
          <t>M2</t>
        </is>
      </c>
      <c r="D3" s="10" t="inlineStr">
        <is>
          <t>M3</t>
        </is>
      </c>
      <c r="E3" s="10" t="inlineStr">
        <is>
          <t>M4</t>
        </is>
      </c>
      <c r="F3" s="10" t="inlineStr">
        <is>
          <t>M5</t>
        </is>
      </c>
      <c r="G3" s="10" t="inlineStr">
        <is>
          <t>M6</t>
        </is>
      </c>
      <c r="H3" s="10" t="inlineStr">
        <is>
          <t>M7</t>
        </is>
      </c>
      <c r="I3" s="10" t="inlineStr">
        <is>
          <t>M8</t>
        </is>
      </c>
      <c r="J3" s="10" t="inlineStr">
        <is>
          <t>M9</t>
        </is>
      </c>
      <c r="K3" s="10" t="inlineStr">
        <is>
          <t>M10</t>
        </is>
      </c>
      <c r="L3" s="10" t="inlineStr">
        <is>
          <t>M11</t>
        </is>
      </c>
      <c r="M3" s="10" t="inlineStr">
        <is>
          <t>M12</t>
        </is>
      </c>
      <c r="N3" s="10" t="inlineStr">
        <is>
          <t>全年合计</t>
        </is>
      </c>
    </row>
    <row r="4">
      <c r="A4" s="11" t="inlineStr">
        <is>
          <t>月度现金收入</t>
        </is>
      </c>
      <c r="B4" s="17">
        <f>'月度收入'!B13</f>
        <v/>
      </c>
      <c r="C4" s="17">
        <f>'月度收入'!C13</f>
        <v/>
      </c>
      <c r="D4" s="17">
        <f>'月度收入'!D13</f>
        <v/>
      </c>
      <c r="E4" s="17">
        <f>'月度收入'!E13</f>
        <v/>
      </c>
      <c r="F4" s="17">
        <f>'月度收入'!F13</f>
        <v/>
      </c>
      <c r="G4" s="17">
        <f>'月度收入'!G13</f>
        <v/>
      </c>
      <c r="H4" s="17">
        <f>'月度收入'!H13</f>
        <v/>
      </c>
      <c r="I4" s="17">
        <f>'月度收入'!I13</f>
        <v/>
      </c>
      <c r="J4" s="17">
        <f>'月度收入'!J13</f>
        <v/>
      </c>
      <c r="K4" s="17">
        <f>'月度收入'!K13</f>
        <v/>
      </c>
      <c r="L4" s="17">
        <f>'月度收入'!L13</f>
        <v/>
      </c>
      <c r="M4" s="17">
        <f>'月度收入'!M13</f>
        <v/>
      </c>
      <c r="N4" s="16">
        <f>SUM(B4:M4)</f>
        <v/>
      </c>
    </row>
    <row r="5">
      <c r="A5" s="11" t="inlineStr">
        <is>
          <t>月度总成本</t>
        </is>
      </c>
      <c r="B5" s="19">
        <f>'月度成本'!B10</f>
        <v/>
      </c>
      <c r="C5" s="19">
        <f>'月度成本'!C10</f>
        <v/>
      </c>
      <c r="D5" s="19">
        <f>'月度成本'!D10</f>
        <v/>
      </c>
      <c r="E5" s="19">
        <f>'月度成本'!E10</f>
        <v/>
      </c>
      <c r="F5" s="19">
        <f>'月度成本'!F10</f>
        <v/>
      </c>
      <c r="G5" s="19">
        <f>'月度成本'!G10</f>
        <v/>
      </c>
      <c r="H5" s="19">
        <f>'月度成本'!H10</f>
        <v/>
      </c>
      <c r="I5" s="19">
        <f>'月度成本'!I10</f>
        <v/>
      </c>
      <c r="J5" s="19">
        <f>'月度成本'!J10</f>
        <v/>
      </c>
      <c r="K5" s="19">
        <f>'月度成本'!K10</f>
        <v/>
      </c>
      <c r="L5" s="19">
        <f>'月度成本'!L10</f>
        <v/>
      </c>
      <c r="M5" s="19">
        <f>'月度成本'!M10</f>
        <v/>
      </c>
      <c r="N5" s="16">
        <f>SUM(B5:M5)</f>
        <v/>
      </c>
    </row>
    <row r="6">
      <c r="A6" s="11" t="inlineStr">
        <is>
          <t>月度净现金</t>
        </is>
      </c>
      <c r="B6" s="16">
        <f>B4-B5</f>
        <v/>
      </c>
      <c r="C6" s="16">
        <f>C4-C5</f>
        <v/>
      </c>
      <c r="D6" s="16">
        <f>D4-D5</f>
        <v/>
      </c>
      <c r="E6" s="16">
        <f>E4-E5</f>
        <v/>
      </c>
      <c r="F6" s="16">
        <f>F4-F5</f>
        <v/>
      </c>
      <c r="G6" s="16">
        <f>G4-G5</f>
        <v/>
      </c>
      <c r="H6" s="16">
        <f>H4-H5</f>
        <v/>
      </c>
      <c r="I6" s="16">
        <f>I4-I5</f>
        <v/>
      </c>
      <c r="J6" s="16">
        <f>J4-J5</f>
        <v/>
      </c>
      <c r="K6" s="16">
        <f>K4-K5</f>
        <v/>
      </c>
      <c r="L6" s="16">
        <f>L4-L5</f>
        <v/>
      </c>
      <c r="M6" s="16">
        <f>M4-M5</f>
        <v/>
      </c>
      <c r="N6" s="16">
        <f>SUM(B6:M6)</f>
        <v/>
      </c>
    </row>
    <row r="7">
      <c r="A7" s="11" t="inlineStr">
        <is>
          <t>累计现金净额</t>
        </is>
      </c>
      <c r="B7" s="16">
        <f>B6</f>
        <v/>
      </c>
      <c r="C7" s="16">
        <f>B7+C6</f>
        <v/>
      </c>
      <c r="D7" s="16">
        <f>C7+D6</f>
        <v/>
      </c>
      <c r="E7" s="16">
        <f>D7+E6</f>
        <v/>
      </c>
      <c r="F7" s="16">
        <f>E7+F6</f>
        <v/>
      </c>
      <c r="G7" s="16">
        <f>F7+G6</f>
        <v/>
      </c>
      <c r="H7" s="16">
        <f>G7+H6</f>
        <v/>
      </c>
      <c r="I7" s="16">
        <f>H7+I6</f>
        <v/>
      </c>
      <c r="J7" s="16">
        <f>I7+J6</f>
        <v/>
      </c>
      <c r="K7" s="16">
        <f>J7+K6</f>
        <v/>
      </c>
      <c r="L7" s="16">
        <f>K7+L6</f>
        <v/>
      </c>
      <c r="M7" s="16">
        <f>L7+M6</f>
        <v/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18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60" customWidth="1" min="4" max="4"/>
  </cols>
  <sheetData>
    <row r="2">
      <c r="B2" s="1" t="inlineStr">
        <is>
          <t>首年损益与回本分析</t>
        </is>
      </c>
    </row>
    <row r="4">
      <c r="B4" s="11" t="inlineStr">
        <is>
          <t>全年现金收入合计</t>
        </is>
      </c>
      <c r="C4" s="16">
        <f>'月度现金流'!N4</f>
        <v/>
      </c>
      <c r="D4" s="3" t="inlineStr">
        <is>
          <t>实施费现金 + 月租收入</t>
        </is>
      </c>
    </row>
    <row r="5">
      <c r="B5" s="11" t="inlineStr">
        <is>
          <t>全年现金成本合计</t>
        </is>
      </c>
      <c r="C5" s="16">
        <f>'月度现金流'!N5</f>
        <v/>
      </c>
      <c r="D5" s="3" t="inlineStr">
        <is>
          <t>人力 + 营销 + 老板局 + 提成 + 应急</t>
        </is>
      </c>
    </row>
    <row r="6">
      <c r="B6" s="11" t="inlineStr">
        <is>
          <t>全年净现金（首年损益）</t>
        </is>
      </c>
      <c r="C6" s="16">
        <f>'月度现金流'!N6</f>
        <v/>
      </c>
      <c r="D6" s="3" t="inlineStr">
        <is>
          <t>正 = 自我造血；负 = 需要补贴</t>
        </is>
      </c>
    </row>
    <row r="7">
      <c r="B7" s="11" t="inlineStr">
        <is>
          <t>第 12 月累计 MRR</t>
        </is>
      </c>
      <c r="C7" s="16">
        <f>'月度收入'!M11</f>
        <v/>
      </c>
      <c r="D7" s="3" t="inlineStr">
        <is>
          <t>月经常性收入，是公司估值的关键</t>
        </is>
      </c>
    </row>
    <row r="8">
      <c r="B8" s="11" t="inlineStr">
        <is>
          <t>年化 MRR（×12）</t>
        </is>
      </c>
      <c r="C8" s="16">
        <f>'月度收入'!M11*12</f>
        <v/>
      </c>
      <c r="D8" s="3" t="inlineStr">
        <is>
          <t>ARR</t>
        </is>
      </c>
    </row>
    <row r="9">
      <c r="B9" s="11" t="inlineStr">
        <is>
          <t>第 12 月累计签约客户数</t>
        </is>
      </c>
      <c r="C9" s="16">
        <f>SUM('月度漏斗'!B13:M13)</f>
        <v/>
      </c>
      <c r="D9" s="3" t="inlineStr">
        <is>
          <t>首年签约总数</t>
        </is>
      </c>
    </row>
    <row r="10">
      <c r="B10" s="11" t="inlineStr">
        <is>
          <t>单月净现金转正月份</t>
        </is>
      </c>
      <c r="C10" s="12">
        <f>IFERROR(MATCH(TRUE,('月度现金流'!B6:M6&gt;0),0),"未转正")</f>
        <v/>
      </c>
      <c r="D10" s="3" t="inlineStr">
        <is>
          <t>首次单月现金为正的月份（数字 1-12）</t>
        </is>
      </c>
    </row>
    <row r="11">
      <c r="B11" s="11" t="inlineStr">
        <is>
          <t>累计现金净额转正月份</t>
        </is>
      </c>
      <c r="C11" s="12">
        <f>IFERROR(MATCH(TRUE,('月度现金流'!B7:M7&gt;0),0),"未在首年回本")</f>
        <v/>
      </c>
      <c r="D11" s="3" t="inlineStr">
        <is>
          <t>首次累计现金为正的月份</t>
        </is>
      </c>
    </row>
    <row r="14">
      <c r="B14" s="20" t="inlineStr">
        <is>
          <t>解读建议：
• 首年现金净额为负属正常 —— B 端 SaaS 第 1 年通常烧钱
• 重点看「累计 MRR」和「ARR」 —— 这两个数字决定了第 2 年起的爆发能力
• 若单月净现金转正在 M9 之前 → 极优秀
• 若 M12 仍未转正 → 检查转化率/客单价/人力规模是否合理
• 累计现金回本通常发生在第 13-18 月，属于行业常态</t>
        </is>
      </c>
    </row>
    <row r="15"/>
    <row r="16"/>
    <row r="17"/>
    <row r="18"/>
  </sheetData>
  <mergeCells count="2">
    <mergeCell ref="B14:D18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2">
      <c r="B2" s="1" t="inlineStr">
        <is>
          <t>保守 / 基准 / 乐观 三档情景对比（手工调假设页参数验证）</t>
        </is>
      </c>
    </row>
    <row r="4">
      <c r="B4" s="10" t="inlineStr">
        <is>
          <t>情景</t>
        </is>
      </c>
      <c r="C4" s="10" t="inlineStr">
        <is>
          <t>线索量调整</t>
        </is>
      </c>
      <c r="D4" s="10" t="inlineStr">
        <is>
          <t>转化率调整</t>
        </is>
      </c>
      <c r="E4" s="10" t="inlineStr">
        <is>
          <t>首年净现金（基准）</t>
        </is>
      </c>
      <c r="F4" s="10" t="inlineStr">
        <is>
          <t>操作建议</t>
        </is>
      </c>
    </row>
    <row r="5">
      <c r="B5" s="21" t="inlineStr">
        <is>
          <t>保守</t>
        </is>
      </c>
      <c r="C5" s="9" t="inlineStr">
        <is>
          <t>× 0.7</t>
        </is>
      </c>
      <c r="D5" s="9" t="inlineStr">
        <is>
          <t>× 0.7</t>
        </is>
      </c>
      <c r="E5" s="6" t="inlineStr">
        <is>
          <t>（手动验证）</t>
        </is>
      </c>
      <c r="F5" s="3" t="inlineStr">
        <is>
          <t>把『关键假设』里地推/老板局/合伙人/内容线索数 ×0.7，再把 4 段转化率 ×0.7</t>
        </is>
      </c>
    </row>
    <row r="6">
      <c r="B6" s="21" t="inlineStr">
        <is>
          <t>基准</t>
        </is>
      </c>
      <c r="C6" s="9" t="inlineStr">
        <is>
          <t>× 1.0</t>
        </is>
      </c>
      <c r="D6" s="9" t="inlineStr">
        <is>
          <t>× 1.0</t>
        </is>
      </c>
      <c r="E6" s="16">
        <f>'损益与回本'!C6</f>
        <v/>
      </c>
      <c r="F6" s="3" t="inlineStr">
        <is>
          <t>默认参数（建议起步用此情景）</t>
        </is>
      </c>
    </row>
    <row r="7">
      <c r="B7" s="21" t="inlineStr">
        <is>
          <t>乐观</t>
        </is>
      </c>
      <c r="C7" s="9" t="inlineStr">
        <is>
          <t>× 1.3</t>
        </is>
      </c>
      <c r="D7" s="9" t="inlineStr">
        <is>
          <t>× 1.2</t>
        </is>
      </c>
      <c r="E7" s="6" t="inlineStr">
        <is>
          <t>（手动验证）</t>
        </is>
      </c>
      <c r="F7" s="3" t="inlineStr">
        <is>
          <t>把『关键假设』里所有线索数 ×1.3，转化率 ×1.2，目标超额完成</t>
        </is>
      </c>
    </row>
    <row r="10">
      <c r="B10" s="20" t="inlineStr">
        <is>
          <t>使用建议：
1. 用基准跑一次完整结果，记录关键数字
2. 切换到保守 / 乐观，看现金流压力区间
3. 决策时按『保守 = 公司能扛』标准调整融资 / 现金储备</t>
        </is>
      </c>
    </row>
    <row r="11"/>
    <row r="12"/>
  </sheetData>
  <mergeCells count="2">
    <mergeCell ref="B2:F2"/>
    <mergeCell ref="B10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2026-04-18T15:07:40Z</dcterms:created>
  <dcterms:modified xsi:type="dcterms:W3CDTF">2026-04-18T15:07:40Z</dcterms:modified>
</cp:coreProperties>
</file>