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价格基准表" sheetId="2" state="visible" r:id="rId2"/>
    <sheet name="3档版本一览" sheetId="3" state="visible" r:id="rId3"/>
    <sheet name="报价计算器" sheetId="4" state="visible" r:id="rId4"/>
    <sheet name="付费模式对比" sheetId="5" state="visible" r:id="rId5"/>
    <sheet name="12期分期模拟" sheetId="6" state="visible" r:id="rId6"/>
    <sheet name="返佣测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12">
    <font>
      <name val="Calibri"/>
      <family val="2"/>
      <color theme="1"/>
      <sz val="11"/>
      <scheme val="minor"/>
    </font>
    <font>
      <name val="Microsoft YaHei"/>
      <b val="1"/>
      <color rgb="001F4E79"/>
      <sz val="18"/>
    </font>
    <font>
      <name val="Microsoft YaHei"/>
      <b val="1"/>
      <sz val="11"/>
    </font>
    <font>
      <name val="Microsoft YaHei"/>
      <sz val="10"/>
    </font>
    <font>
      <name val="Microsoft YaHei"/>
      <b val="1"/>
      <color rgb="00FFFFFF"/>
      <sz val="11"/>
    </font>
    <font>
      <name val="Microsoft YaHei"/>
      <b val="1"/>
      <color rgb="001F4E79"/>
      <sz val="14"/>
    </font>
    <font>
      <name val="Microsoft YaHei"/>
      <b val="1"/>
      <color rgb="001F4E79"/>
      <sz val="12"/>
    </font>
    <font>
      <name val="Microsoft YaHei"/>
      <b val="1"/>
      <color rgb="001F4E79"/>
      <sz val="16"/>
    </font>
    <font>
      <i val="1"/>
      <color rgb="00808080"/>
    </font>
    <font>
      <color rgb="00808080"/>
    </font>
    <font>
      <name val="Microsoft YaHei"/>
      <color rgb="00595959"/>
      <sz val="9"/>
    </font>
    <font>
      <name val="Microsoft YaHei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164" fontId="3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0" fontId="3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0" customWidth="1" min="3" max="3"/>
  </cols>
  <sheetData>
    <row r="2">
      <c r="B2" s="1" t="inlineStr">
        <is>
          <t>钢铁数字化系统报价单 v2.0（降门槛版）</t>
        </is>
      </c>
    </row>
    <row r="4" ht="77.39999999999999" customHeight="1">
      <c r="B4" s="2" t="inlineStr">
        <is>
          <t>v2.0 主要变化</t>
        </is>
      </c>
      <c r="C4" s="3" t="inlineStr">
        <is>
          <t>① 实施费降幅 50-70%，月租降幅 20-30%
② 简化为 3 档套餐价（种子/经营/旗舰），不再按产线累加
③ 新增 3 种付费模式：A 经典 / B 0首付月供（+30%月租, 36 月）/ C 利润分成
④ 新增 12 期分期模拟与年支出红线警示</t>
        </is>
      </c>
    </row>
    <row r="5" ht="88.8" customHeight="1">
      <c r="B5" s="2" t="inlineStr">
        <is>
          <t>使用步骤</t>
        </is>
      </c>
      <c r="C5" s="3" t="inlineStr">
        <is>
          <t>① 打开『报价计算器』，黄色单元格填客户类型、版本、付费模式、客户年利润
② 绿色单元格自动出报价、月供、年支出占年利润比
③ 占比超过 1.5%→红色警示，建议调整版本或付费模式
④ 切换『付费模式对比』看 3 种模式横向对比
⑤ 切换『3 档版本一览』给客户看完整菜单（不要让客户看全价目表）</t>
        </is>
      </c>
    </row>
    <row r="6" ht="70.2" customHeight="1">
      <c r="B6" s="2" t="inlineStr">
        <is>
          <t>销售铁律</t>
        </is>
      </c>
      <c r="C6" s="3" t="inlineStr">
        <is>
          <t>1. 永远只给客户看『3 档版本一览』中的 3 个版本，不要打开『价格基准表』
2. 报价话术：先报『月供』，客户问总价再报实施费
3. 实施费默认推 12 期分期，相当于『每月一杯酒钱』
4. 现签现送：30 天月租免单（写进合同）</t>
        </is>
      </c>
    </row>
    <row r="7" ht="40" customHeight="1">
      <c r="B7" s="2" t="inlineStr">
        <is>
          <t>权限</t>
        </is>
      </c>
      <c r="C7" s="3" t="inlineStr">
        <is>
          <t>销售：套餐价 ±5% 自批；销售总监 ±15%；C 模式必须总经理审批；种子版不打折</t>
        </is>
      </c>
    </row>
    <row r="8" ht="58.8" customHeight="1">
      <c r="B8" s="2" t="inlineStr">
        <is>
          <t>注意事项</t>
        </is>
      </c>
      <c r="C8" s="3" t="inlineStr">
        <is>
          <t>1. 黄色 = 输入区；绿色 = 自动计算；红色 = 警示；蓝色 = 表头
2. 修改『价格基准表』后保存即可，无需改公式
3. C 模式（利润分成）只对灯塔厂候选客户开放，必须 CEO/总经理批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50" customWidth="1" min="5" max="5"/>
    <col width="24" customWidth="1" min="6" max="6"/>
  </cols>
  <sheetData>
    <row r="1">
      <c r="A1" s="4" t="inlineStr">
        <is>
          <t>客户类型</t>
        </is>
      </c>
      <c r="B1" s="4" t="inlineStr">
        <is>
          <t>版本</t>
        </is>
      </c>
      <c r="C1" s="4" t="inlineStr">
        <is>
          <t>实施费(元)</t>
        </is>
      </c>
      <c r="D1" s="4" t="inlineStr">
        <is>
          <t>月租(元/月)</t>
        </is>
      </c>
      <c r="E1" s="4" t="inlineStr">
        <is>
          <t>含模块</t>
        </is>
      </c>
      <c r="F1" s="4" t="inlineStr">
        <is>
          <t>适用规模</t>
        </is>
      </c>
    </row>
    <row r="2">
      <c r="A2" s="5" t="inlineStr">
        <is>
          <t>开平纵剪加工</t>
        </is>
      </c>
      <c r="B2" s="5" t="inlineStr">
        <is>
          <t>种子版</t>
        </is>
      </c>
      <c r="C2" s="6" t="n">
        <v>9800</v>
      </c>
      <c r="D2" s="6" t="n">
        <v>1500</v>
      </c>
      <c r="E2" s="3" t="inlineStr">
        <is>
          <t>成本核算（单产线）</t>
        </is>
      </c>
      <c r="F2" s="3" t="inlineStr">
        <is>
          <t>想先试试的小厂</t>
        </is>
      </c>
    </row>
    <row r="3">
      <c r="A3" s="5" t="inlineStr">
        <is>
          <t>开平纵剪加工</t>
        </is>
      </c>
      <c r="B3" s="5" t="inlineStr">
        <is>
          <t>经营版</t>
        </is>
      </c>
      <c r="C3" s="6" t="n">
        <v>36000</v>
      </c>
      <c r="D3" s="6" t="n">
        <v>4800</v>
      </c>
      <c r="E3" s="3" t="inlineStr">
        <is>
          <t>成本核算+库存+卷号追溯（≤3 产线）</t>
        </is>
      </c>
      <c r="F3" s="3" t="inlineStr">
        <is>
          <t>80% 主流</t>
        </is>
      </c>
    </row>
    <row r="4">
      <c r="A4" s="5" t="inlineStr">
        <is>
          <t>开平纵剪加工</t>
        </is>
      </c>
      <c r="B4" s="5" t="inlineStr">
        <is>
          <t>旗舰版</t>
        </is>
      </c>
      <c r="C4" s="6" t="n">
        <v>98000</v>
      </c>
      <c r="D4" s="6" t="n">
        <v>12000</v>
      </c>
      <c r="E4" s="3" t="inlineStr">
        <is>
          <t>全套(ERP+MES+WMS+财务)+不限产线</t>
        </is>
      </c>
      <c r="F4" s="3" t="inlineStr">
        <is>
          <t>4+ 产线大厂</t>
        </is>
      </c>
    </row>
    <row r="5">
      <c r="A5" s="5" t="inlineStr">
        <is>
          <t>钢管生产企业</t>
        </is>
      </c>
      <c r="B5" s="5" t="inlineStr">
        <is>
          <t>种子版</t>
        </is>
      </c>
      <c r="C5" s="6" t="n">
        <v>19800</v>
      </c>
      <c r="D5" s="6" t="n">
        <v>3500</v>
      </c>
      <c r="E5" s="3" t="inlineStr">
        <is>
          <t>质量追溯（单产线）</t>
        </is>
      </c>
      <c r="F5" s="3" t="inlineStr">
        <is>
          <t>1-2 产线</t>
        </is>
      </c>
    </row>
    <row r="6">
      <c r="A6" s="5" t="inlineStr">
        <is>
          <t>钢管生产企业</t>
        </is>
      </c>
      <c r="B6" s="5" t="inlineStr">
        <is>
          <t>经营版</t>
        </is>
      </c>
      <c r="C6" s="6" t="n">
        <v>68000</v>
      </c>
      <c r="D6" s="6" t="n">
        <v>9800</v>
      </c>
      <c r="E6" s="3" t="inlineStr">
        <is>
          <t>追溯+排程+成本（≤5 产线）</t>
        </is>
      </c>
      <c r="F6" s="3" t="inlineStr">
        <is>
          <t>80% 主流</t>
        </is>
      </c>
    </row>
    <row r="7">
      <c r="A7" s="5" t="inlineStr">
        <is>
          <t>钢管生产企业</t>
        </is>
      </c>
      <c r="B7" s="5" t="inlineStr">
        <is>
          <t>旗舰版</t>
        </is>
      </c>
      <c r="C7" s="6" t="n">
        <v>188000</v>
      </c>
      <c r="D7" s="6" t="n">
        <v>25000</v>
      </c>
      <c r="E7" s="3" t="inlineStr">
        <is>
          <t>全套+EAM+多基地+不限产线</t>
        </is>
      </c>
      <c r="F7" s="3" t="inlineStr">
        <is>
          <t>6+ 产线大厂</t>
        </is>
      </c>
    </row>
    <row r="8">
      <c r="A8" s="5" t="inlineStr">
        <is>
          <t>镀锌冷卷企业</t>
        </is>
      </c>
      <c r="B8" s="5" t="inlineStr">
        <is>
          <t>种子版</t>
        </is>
      </c>
      <c r="C8" s="6" t="n">
        <v>36000</v>
      </c>
      <c r="D8" s="6" t="n">
        <v>6800</v>
      </c>
      <c r="E8" s="3" t="inlineStr">
        <is>
          <t>追溯+OEE（单机组）</t>
        </is>
      </c>
      <c r="F8" s="3" t="inlineStr">
        <is>
          <t>单机组试点</t>
        </is>
      </c>
    </row>
    <row r="9">
      <c r="A9" s="5" t="inlineStr">
        <is>
          <t>镀锌冷卷企业</t>
        </is>
      </c>
      <c r="B9" s="5" t="inlineStr">
        <is>
          <t>经营版</t>
        </is>
      </c>
      <c r="C9" s="6" t="n">
        <v>98000</v>
      </c>
      <c r="D9" s="6" t="n">
        <v>15000</v>
      </c>
      <c r="E9" s="3" t="inlineStr">
        <is>
          <t>追溯+EAM+排程+成本（≤2 机组）</t>
        </is>
      </c>
      <c r="F9" s="3" t="inlineStr">
        <is>
          <t>80% 主流</t>
        </is>
      </c>
    </row>
    <row r="10">
      <c r="A10" s="5" t="inlineStr">
        <is>
          <t>镀锌冷卷企业</t>
        </is>
      </c>
      <c r="B10" s="5" t="inlineStr">
        <is>
          <t>旗舰版</t>
        </is>
      </c>
      <c r="C10" s="6" t="n">
        <v>250000</v>
      </c>
      <c r="D10" s="6" t="n">
        <v>35000</v>
      </c>
      <c r="E10" s="3" t="inlineStr">
        <is>
          <t>全套+APS接口+多基地</t>
        </is>
      </c>
      <c r="F10" s="3" t="inlineStr">
        <is>
          <t>3+ 机组大厂</t>
        </is>
      </c>
    </row>
    <row r="11">
      <c r="A11" s="5" t="inlineStr">
        <is>
          <t>一体厂</t>
        </is>
      </c>
      <c r="B11" s="5" t="inlineStr">
        <is>
          <t>种子版</t>
        </is>
      </c>
      <c r="C11" s="6" t="n">
        <v>68000</v>
      </c>
      <c r="D11" s="6" t="n">
        <v>12000</v>
      </c>
      <c r="E11" s="3" t="inlineStr">
        <is>
          <t>全厂质量追溯（单业务）</t>
        </is>
      </c>
      <c r="F11" s="3" t="inlineStr">
        <is>
          <t>试点先行</t>
        </is>
      </c>
    </row>
    <row r="12">
      <c r="A12" s="5" t="inlineStr">
        <is>
          <t>一体厂</t>
        </is>
      </c>
      <c r="B12" s="5" t="inlineStr">
        <is>
          <t>经营版</t>
        </is>
      </c>
      <c r="C12" s="6" t="n">
        <v>168000</v>
      </c>
      <c r="D12" s="6" t="n">
        <v>28000</v>
      </c>
      <c r="E12" s="3" t="inlineStr">
        <is>
          <t>全厂追溯+排程+成本</t>
        </is>
      </c>
      <c r="F12" s="3" t="inlineStr">
        <is>
          <t>80% 主流</t>
        </is>
      </c>
    </row>
    <row r="13">
      <c r="A13" s="5" t="inlineStr">
        <is>
          <t>一体厂</t>
        </is>
      </c>
      <c r="B13" s="5" t="inlineStr">
        <is>
          <t>旗舰版</t>
        </is>
      </c>
      <c r="C13" s="6" t="n">
        <v>380000</v>
      </c>
      <c r="D13" s="6" t="n">
        <v>58000</v>
      </c>
      <c r="E13" s="3" t="inlineStr">
        <is>
          <t>全套+集团合并报表+BI大屏</t>
        </is>
      </c>
      <c r="F13" s="3" t="inlineStr">
        <is>
          <t>集团化大厂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7" t="inlineStr">
        <is>
          <t>3 档版本菜单（销售给客户看的页面）</t>
        </is>
      </c>
    </row>
    <row r="4">
      <c r="B4" s="8" t="inlineStr">
        <is>
          <t>▼ 开平纵剪加工</t>
        </is>
      </c>
    </row>
    <row r="5">
      <c r="B5" s="4" t="inlineStr">
        <is>
          <t>项目</t>
        </is>
      </c>
      <c r="C5" s="4" t="inlineStr">
        <is>
          <t>种子版</t>
        </is>
      </c>
      <c r="D5" s="4" t="inlineStr">
        <is>
          <t>经营版</t>
        </is>
      </c>
      <c r="E5" s="4" t="inlineStr">
        <is>
          <t>旗舰版</t>
        </is>
      </c>
    </row>
    <row r="6">
      <c r="B6" s="9" t="inlineStr">
        <is>
          <t>实施费(元)</t>
        </is>
      </c>
      <c r="C6" s="10" t="n">
        <v>9800</v>
      </c>
      <c r="D6" s="10" t="n">
        <v>36000</v>
      </c>
      <c r="E6" s="10" t="n">
        <v>98000</v>
      </c>
    </row>
    <row r="7">
      <c r="B7" s="9" t="inlineStr">
        <is>
          <t>月租起(元/月)</t>
        </is>
      </c>
      <c r="C7" s="10" t="n">
        <v>1500</v>
      </c>
      <c r="D7" s="10" t="n">
        <v>4800</v>
      </c>
      <c r="E7" s="10" t="n">
        <v>12000</v>
      </c>
    </row>
    <row r="8">
      <c r="B8" s="9" t="inlineStr">
        <is>
          <t>12 期月供合计</t>
        </is>
      </c>
      <c r="C8" s="10" t="n">
        <v>2320</v>
      </c>
      <c r="D8" s="10" t="n">
        <v>7800</v>
      </c>
      <c r="E8" s="10" t="n">
        <v>20170</v>
      </c>
    </row>
    <row r="9" ht="50" customHeight="1">
      <c r="B9" s="9" t="inlineStr">
        <is>
          <t>含模块</t>
        </is>
      </c>
      <c r="C9" s="3" t="inlineStr">
        <is>
          <t>成本核算（单产线）</t>
        </is>
      </c>
      <c r="D9" s="3" t="inlineStr">
        <is>
          <t>成本核算+库存+卷号追溯（≤3 产线）</t>
        </is>
      </c>
      <c r="E9" s="3" t="inlineStr">
        <is>
          <t>全套(ERP+MES+WMS+财务)+不限产线</t>
        </is>
      </c>
    </row>
    <row r="10">
      <c r="B10" s="9" t="inlineStr">
        <is>
          <t>适用</t>
        </is>
      </c>
      <c r="C10" s="3" t="inlineStr">
        <is>
          <t>想先试试的小厂</t>
        </is>
      </c>
      <c r="D10" s="3" t="inlineStr">
        <is>
          <t>80% 主流</t>
        </is>
      </c>
      <c r="E10" s="3" t="inlineStr">
        <is>
          <t>4+ 产线大厂</t>
        </is>
      </c>
    </row>
    <row r="12">
      <c r="B12" s="8" t="inlineStr">
        <is>
          <t>▼ 钢管生产企业</t>
        </is>
      </c>
    </row>
    <row r="13">
      <c r="B13" s="4" t="inlineStr">
        <is>
          <t>项目</t>
        </is>
      </c>
      <c r="C13" s="4" t="inlineStr">
        <is>
          <t>种子版</t>
        </is>
      </c>
      <c r="D13" s="4" t="inlineStr">
        <is>
          <t>经营版</t>
        </is>
      </c>
      <c r="E13" s="4" t="inlineStr">
        <is>
          <t>旗舰版</t>
        </is>
      </c>
    </row>
    <row r="14">
      <c r="B14" s="9" t="inlineStr">
        <is>
          <t>实施费(元)</t>
        </is>
      </c>
      <c r="C14" s="10" t="n">
        <v>19800</v>
      </c>
      <c r="D14" s="10" t="n">
        <v>68000</v>
      </c>
      <c r="E14" s="10" t="n">
        <v>188000</v>
      </c>
    </row>
    <row r="15">
      <c r="B15" s="9" t="inlineStr">
        <is>
          <t>月租起(元/月)</t>
        </is>
      </c>
      <c r="C15" s="10" t="n">
        <v>3500</v>
      </c>
      <c r="D15" s="10" t="n">
        <v>9800</v>
      </c>
      <c r="E15" s="10" t="n">
        <v>25000</v>
      </c>
    </row>
    <row r="16">
      <c r="B16" s="9" t="inlineStr">
        <is>
          <t>12 期月供合计</t>
        </is>
      </c>
      <c r="C16" s="10" t="n">
        <v>5150</v>
      </c>
      <c r="D16" s="10" t="n">
        <v>15470</v>
      </c>
      <c r="E16" s="10" t="n">
        <v>40670</v>
      </c>
    </row>
    <row r="17" ht="50" customHeight="1">
      <c r="B17" s="9" t="inlineStr">
        <is>
          <t>含模块</t>
        </is>
      </c>
      <c r="C17" s="3" t="inlineStr">
        <is>
          <t>质量追溯（单产线）</t>
        </is>
      </c>
      <c r="D17" s="3" t="inlineStr">
        <is>
          <t>追溯+排程+成本（≤5 产线）</t>
        </is>
      </c>
      <c r="E17" s="3" t="inlineStr">
        <is>
          <t>全套+EAM+多基地+不限产线</t>
        </is>
      </c>
    </row>
    <row r="18">
      <c r="B18" s="9" t="inlineStr">
        <is>
          <t>适用</t>
        </is>
      </c>
      <c r="C18" s="3" t="inlineStr">
        <is>
          <t>1-2 产线</t>
        </is>
      </c>
      <c r="D18" s="3" t="inlineStr">
        <is>
          <t>80% 主流</t>
        </is>
      </c>
      <c r="E18" s="3" t="inlineStr">
        <is>
          <t>6+ 产线大厂</t>
        </is>
      </c>
    </row>
    <row r="20">
      <c r="B20" s="8" t="inlineStr">
        <is>
          <t>▼ 镀锌冷卷企业</t>
        </is>
      </c>
    </row>
    <row r="21">
      <c r="B21" s="4" t="inlineStr">
        <is>
          <t>项目</t>
        </is>
      </c>
      <c r="C21" s="4" t="inlineStr">
        <is>
          <t>种子版</t>
        </is>
      </c>
      <c r="D21" s="4" t="inlineStr">
        <is>
          <t>经营版</t>
        </is>
      </c>
      <c r="E21" s="4" t="inlineStr">
        <is>
          <t>旗舰版</t>
        </is>
      </c>
    </row>
    <row r="22">
      <c r="B22" s="9" t="inlineStr">
        <is>
          <t>实施费(元)</t>
        </is>
      </c>
      <c r="C22" s="10" t="n">
        <v>36000</v>
      </c>
      <c r="D22" s="10" t="n">
        <v>98000</v>
      </c>
      <c r="E22" s="10" t="n">
        <v>250000</v>
      </c>
    </row>
    <row r="23">
      <c r="B23" s="9" t="inlineStr">
        <is>
          <t>月租起(元/月)</t>
        </is>
      </c>
      <c r="C23" s="10" t="n">
        <v>6800</v>
      </c>
      <c r="D23" s="10" t="n">
        <v>15000</v>
      </c>
      <c r="E23" s="10" t="n">
        <v>35000</v>
      </c>
    </row>
    <row r="24">
      <c r="B24" s="9" t="inlineStr">
        <is>
          <t>12 期月供合计</t>
        </is>
      </c>
      <c r="C24" s="10" t="n">
        <v>9800</v>
      </c>
      <c r="D24" s="10" t="n">
        <v>23170</v>
      </c>
      <c r="E24" s="10" t="n">
        <v>55830</v>
      </c>
    </row>
    <row r="25" ht="50" customHeight="1">
      <c r="B25" s="9" t="inlineStr">
        <is>
          <t>含模块</t>
        </is>
      </c>
      <c r="C25" s="3" t="inlineStr">
        <is>
          <t>追溯+OEE（单机组）</t>
        </is>
      </c>
      <c r="D25" s="3" t="inlineStr">
        <is>
          <t>追溯+EAM+排程+成本（≤2 机组）</t>
        </is>
      </c>
      <c r="E25" s="3" t="inlineStr">
        <is>
          <t>全套+APS接口+多基地</t>
        </is>
      </c>
    </row>
    <row r="26">
      <c r="B26" s="9" t="inlineStr">
        <is>
          <t>适用</t>
        </is>
      </c>
      <c r="C26" s="3" t="inlineStr">
        <is>
          <t>单机组试点</t>
        </is>
      </c>
      <c r="D26" s="3" t="inlineStr">
        <is>
          <t>80% 主流</t>
        </is>
      </c>
      <c r="E26" s="3" t="inlineStr">
        <is>
          <t>3+ 机组大厂</t>
        </is>
      </c>
    </row>
    <row r="28">
      <c r="B28" s="8" t="inlineStr">
        <is>
          <t>▼ 一体厂</t>
        </is>
      </c>
    </row>
    <row r="29">
      <c r="B29" s="4" t="inlineStr">
        <is>
          <t>项目</t>
        </is>
      </c>
      <c r="C29" s="4" t="inlineStr">
        <is>
          <t>种子版</t>
        </is>
      </c>
      <c r="D29" s="4" t="inlineStr">
        <is>
          <t>经营版</t>
        </is>
      </c>
      <c r="E29" s="4" t="inlineStr">
        <is>
          <t>旗舰版</t>
        </is>
      </c>
    </row>
    <row r="30">
      <c r="B30" s="9" t="inlineStr">
        <is>
          <t>实施费(元)</t>
        </is>
      </c>
      <c r="C30" s="10" t="n">
        <v>68000</v>
      </c>
      <c r="D30" s="10" t="n">
        <v>168000</v>
      </c>
      <c r="E30" s="10" t="n">
        <v>380000</v>
      </c>
    </row>
    <row r="31">
      <c r="B31" s="9" t="inlineStr">
        <is>
          <t>月租起(元/月)</t>
        </is>
      </c>
      <c r="C31" s="10" t="n">
        <v>12000</v>
      </c>
      <c r="D31" s="10" t="n">
        <v>28000</v>
      </c>
      <c r="E31" s="10" t="n">
        <v>58000</v>
      </c>
    </row>
    <row r="32">
      <c r="B32" s="9" t="inlineStr">
        <is>
          <t>12 期月供合计</t>
        </is>
      </c>
      <c r="C32" s="10" t="n">
        <v>17670</v>
      </c>
      <c r="D32" s="10" t="n">
        <v>42000</v>
      </c>
      <c r="E32" s="10" t="n">
        <v>89670</v>
      </c>
    </row>
    <row r="33" ht="50" customHeight="1">
      <c r="B33" s="9" t="inlineStr">
        <is>
          <t>含模块</t>
        </is>
      </c>
      <c r="C33" s="3" t="inlineStr">
        <is>
          <t>全厂质量追溯（单业务）</t>
        </is>
      </c>
      <c r="D33" s="3" t="inlineStr">
        <is>
          <t>全厂追溯+排程+成本</t>
        </is>
      </c>
      <c r="E33" s="3" t="inlineStr">
        <is>
          <t>全套+集团合并报表+BI大屏</t>
        </is>
      </c>
    </row>
    <row r="34">
      <c r="B34" s="9" t="inlineStr">
        <is>
          <t>适用</t>
        </is>
      </c>
      <c r="C34" s="3" t="inlineStr">
        <is>
          <t>试点先行</t>
        </is>
      </c>
      <c r="D34" s="3" t="inlineStr">
        <is>
          <t>80% 主流</t>
        </is>
      </c>
      <c r="E34" s="3" t="inlineStr">
        <is>
          <t>集团化大厂</t>
        </is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8" max="8"/>
    <col width="18" customWidth="1" min="9" max="9"/>
  </cols>
  <sheetData>
    <row r="2">
      <c r="B2" s="11" t="inlineStr">
        <is>
          <t>客户报价计算器（v2.0）</t>
        </is>
      </c>
    </row>
    <row r="4">
      <c r="B4" s="2" t="inlineStr">
        <is>
          <t>一、客户基础信息（黄色 = 必填）</t>
        </is>
      </c>
    </row>
    <row r="5">
      <c r="B5" s="12" t="inlineStr">
        <is>
          <t>客户全称</t>
        </is>
      </c>
      <c r="C5" s="13" t="inlineStr"/>
      <c r="H5" s="14" t="inlineStr">
        <is>
          <t>—— 内部计算辅助 ——</t>
        </is>
      </c>
    </row>
    <row r="6">
      <c r="B6" s="12" t="inlineStr">
        <is>
          <t>联系人 / 电话</t>
        </is>
      </c>
      <c r="C6" s="13" t="inlineStr"/>
      <c r="H6" s="15" t="inlineStr">
        <is>
          <t>基准实施费</t>
        </is>
      </c>
      <c r="I6" s="16">
        <f>SUMPRODUCT(('价格基准表'!$A$2:$A$13=$C$7)*('价格基准表'!$B$2:$B$13=$C$8)*'价格基准表'!$C$2:$C$13)</f>
        <v/>
      </c>
    </row>
    <row r="7">
      <c r="B7" s="12" t="inlineStr">
        <is>
          <t>客户类型</t>
        </is>
      </c>
      <c r="C7" s="13" t="inlineStr">
        <is>
          <t>钢管生产企业</t>
        </is>
      </c>
      <c r="H7" s="15" t="inlineStr">
        <is>
          <t>基准月租</t>
        </is>
      </c>
      <c r="I7" s="16">
        <f>SUMPRODUCT(('价格基准表'!$A$2:$A$13=$C$7)*('价格基准表'!$B$2:$B$13=$C$8)*'价格基准表'!$D$2:$D$13)</f>
        <v/>
      </c>
    </row>
    <row r="8">
      <c r="B8" s="12" t="inlineStr">
        <is>
          <t>版本</t>
        </is>
      </c>
      <c r="C8" s="13" t="inlineStr">
        <is>
          <t>经营版</t>
        </is>
      </c>
      <c r="H8" s="15" t="inlineStr">
        <is>
          <t>实施费系数</t>
        </is>
      </c>
      <c r="I8" s="17">
        <f>IF($C$9="A 经典",1,IF($C$9="B 0首付月供",0,IF($C$9="C 利润分成",0,1)))</f>
        <v/>
      </c>
    </row>
    <row r="9">
      <c r="B9" s="12" t="inlineStr">
        <is>
          <t>付费模式</t>
        </is>
      </c>
      <c r="C9" s="13" t="inlineStr">
        <is>
          <t>A 经典</t>
        </is>
      </c>
      <c r="H9" s="15" t="inlineStr">
        <is>
          <t>月租系数</t>
        </is>
      </c>
      <c r="I9" s="17">
        <f>IF($C$9="A 经典",1,IF($C$9="B 0首付月供",1.3,IF($C$9="C 利润分成",0.5,1)))</f>
        <v/>
      </c>
    </row>
    <row r="10">
      <c r="B10" s="12" t="inlineStr">
        <is>
          <t>销售折扣率(0.85~1.00)</t>
        </is>
      </c>
      <c r="C10" s="13" t="n">
        <v>1</v>
      </c>
      <c r="H10" s="15" t="inlineStr">
        <is>
          <t>实付实施费</t>
        </is>
      </c>
      <c r="I10" s="16">
        <f>ROUND(I6*I8*$C$10,-2)</f>
        <v/>
      </c>
    </row>
    <row r="11">
      <c r="B11" s="12" t="inlineStr">
        <is>
          <t>客户年利润(万元)</t>
        </is>
      </c>
      <c r="C11" s="13" t="n">
        <v>1500</v>
      </c>
      <c r="H11" s="15" t="inlineStr">
        <is>
          <t>实付月租</t>
        </is>
      </c>
      <c r="I11" s="16">
        <f>ROUND(I7*I9*$C$10,-1)</f>
        <v/>
      </c>
    </row>
    <row r="12">
      <c r="H12" s="15" t="inlineStr">
        <is>
          <t>12 期月供合计</t>
        </is>
      </c>
      <c r="I12" s="16">
        <f>ROUND(I10/12+I11,-1)</f>
        <v/>
      </c>
    </row>
    <row r="13">
      <c r="B13" s="2" t="inlineStr">
        <is>
          <t>二、自动计算（绿色 = 输出，红色 = 警示）</t>
        </is>
      </c>
    </row>
    <row r="15">
      <c r="B15" s="12" t="inlineStr">
        <is>
          <t>一次性实施费</t>
        </is>
      </c>
      <c r="E15" s="10">
        <f>I10</f>
        <v/>
      </c>
    </row>
    <row r="16">
      <c r="B16" s="12" t="inlineStr">
        <is>
          <t>月租（实际）</t>
        </is>
      </c>
      <c r="E16" s="10">
        <f>I11</f>
        <v/>
      </c>
    </row>
    <row r="17">
      <c r="B17" s="12" t="inlineStr">
        <is>
          <t>方案 1：一次付实施费 + 月租</t>
        </is>
      </c>
      <c r="E17" s="10">
        <f>I10+I11*12</f>
        <v/>
      </c>
    </row>
    <row r="18">
      <c r="B18" s="12" t="inlineStr">
        <is>
          <t>方案 2：12 期分期月供</t>
        </is>
      </c>
      <c r="E18" s="10">
        <f>I12</f>
        <v/>
      </c>
    </row>
    <row r="19">
      <c r="B19" s="12" t="inlineStr">
        <is>
          <t>3 年总投入</t>
        </is>
      </c>
      <c r="E19" s="10">
        <f>I10+I11*36</f>
        <v/>
      </c>
    </row>
    <row r="20">
      <c r="B20" s="12" t="inlineStr">
        <is>
          <t>销售提成</t>
        </is>
      </c>
      <c r="E20" s="10">
        <f>I10*IF($C$8="种子版",0.05,IF($C$8="经营版",0.08,0.10)) + I11*12*IF($C$8="种子版",0.02,IF($C$8="经营版",0.03,0.04))</f>
        <v/>
      </c>
    </row>
    <row r="22">
      <c r="B22" s="12" t="inlineStr">
        <is>
          <t>首年支出占客户年利润 %</t>
        </is>
      </c>
      <c r="E22" s="18">
        <f>IFERROR((I10+I11*12)/(C11*10000),0)</f>
        <v/>
      </c>
    </row>
    <row r="23">
      <c r="B23" s="19" t="inlineStr">
        <is>
          <t>🚨 健康度参考：
  ≤ 1%：非常健康，可推旗舰版
  1-1.5%：合理，建议经营版+12 期分期
  1.5-3%：偏高，强烈建议 B 模式（0首付月供）或降版本
  &gt; 3%：过高，必须降版本或推种子版试点
🎯 销售三步话术：
  ① 先报『方案 2 月供』数字
  ② 客户问总价再报实施费
  ③ 关单送『前 30 天月租免单』</t>
        </is>
      </c>
    </row>
    <row r="24"/>
    <row r="25"/>
  </sheetData>
  <mergeCells count="18">
    <mergeCell ref="B4:F4"/>
    <mergeCell ref="B19:D19"/>
    <mergeCell ref="E20:F20"/>
    <mergeCell ref="E16:F16"/>
    <mergeCell ref="B2:F2"/>
    <mergeCell ref="E15:F15"/>
    <mergeCell ref="B22:D22"/>
    <mergeCell ref="E19:F19"/>
    <mergeCell ref="B16:D16"/>
    <mergeCell ref="B17:D17"/>
    <mergeCell ref="B18:D18"/>
    <mergeCell ref="B23:F25"/>
    <mergeCell ref="E22:F22"/>
    <mergeCell ref="B15:D15"/>
    <mergeCell ref="E17:F17"/>
    <mergeCell ref="E18:F18"/>
    <mergeCell ref="B13:F13"/>
    <mergeCell ref="B20:D20"/>
  </mergeCells>
  <dataValidations count="3">
    <dataValidation sqref="C7" showDropDown="0" showInputMessage="0" showErrorMessage="0" allowBlank="0" type="list">
      <formula1>"开平纵剪加工,钢管生产企业,镀锌冷卷企业,一体厂"</formula1>
    </dataValidation>
    <dataValidation sqref="C8" showDropDown="0" showInputMessage="0" showErrorMessage="0" allowBlank="0" type="list">
      <formula1>"种子版,经营版,旗舰版"</formula1>
    </dataValidation>
    <dataValidation sqref="C9" showDropDown="0" showInputMessage="0" showErrorMessage="0" allowBlank="0" type="list">
      <formula1>"A 经典,B 0首付月供,C 利润分成"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2" customWidth="1" min="4" max="4"/>
    <col width="22" customWidth="1" min="5" max="5"/>
  </cols>
  <sheetData>
    <row r="2">
      <c r="B2" s="7" t="inlineStr">
        <is>
          <t>3 种付费模式横向对比（基于报价计算器输入）</t>
        </is>
      </c>
    </row>
    <row r="4">
      <c r="B4" s="4" t="inlineStr">
        <is>
          <t>项目</t>
        </is>
      </c>
      <c r="C4" s="4" t="inlineStr">
        <is>
          <t>A 经典</t>
        </is>
      </c>
      <c r="D4" s="4" t="inlineStr">
        <is>
          <t>B 0首付月供</t>
        </is>
      </c>
      <c r="E4" s="4" t="inlineStr">
        <is>
          <t>C 利润分成</t>
        </is>
      </c>
    </row>
    <row r="5">
      <c r="B5" s="12" t="inlineStr">
        <is>
          <t>首付实施费</t>
        </is>
      </c>
      <c r="C5" s="10">
        <f>'报价计算器'!I6</f>
        <v/>
      </c>
      <c r="D5" s="5" t="n">
        <v>0</v>
      </c>
      <c r="E5" s="5" t="n">
        <v>0</v>
      </c>
    </row>
    <row r="6">
      <c r="B6" s="12" t="inlineStr">
        <is>
          <t>月租（元/月）</t>
        </is>
      </c>
      <c r="C6" s="10">
        <f>'报价计算器'!I7</f>
        <v/>
      </c>
      <c r="D6" s="10">
        <f>'报价计算器'!I7*1.3</f>
        <v/>
      </c>
      <c r="E6" s="10">
        <f>'报价计算器'!I7*0.5</f>
        <v/>
      </c>
    </row>
    <row r="7">
      <c r="B7" s="12" t="inlineStr">
        <is>
          <t>12 个月支出</t>
        </is>
      </c>
      <c r="C7" s="10">
        <f>'报价计算器'!I6+'报价计算器'!I7*12</f>
        <v/>
      </c>
      <c r="D7" s="10">
        <f>'报价计算器'!I7*1.3*12</f>
        <v/>
      </c>
      <c r="E7" s="10">
        <f>'报价计算器'!I7*0.5*12 + 0</f>
        <v/>
      </c>
    </row>
    <row r="8">
      <c r="B8" s="12" t="inlineStr">
        <is>
          <t>36 个月支出</t>
        </is>
      </c>
      <c r="C8" s="10">
        <f>'报价计算器'!I6+'报价计算器'!I7*36</f>
        <v/>
      </c>
      <c r="D8" s="10">
        <f>'报价计算器'!I7*1.3*36</f>
        <v/>
      </c>
      <c r="E8" s="10">
        <f>'报价计算器'!I7*0.5*36 + 0</f>
        <v/>
      </c>
    </row>
    <row r="9">
      <c r="B9" s="12" t="inlineStr">
        <is>
          <t>适合客户类型</t>
        </is>
      </c>
      <c r="C9" s="5" t="inlineStr">
        <is>
          <t>现金流好、不喜分期</t>
        </is>
      </c>
      <c r="D9" s="5" t="inlineStr">
        <is>
          <t>现金紧、抠门老板</t>
        </is>
      </c>
      <c r="E9" s="5" t="inlineStr">
        <is>
          <t>高利润大客户、灯塔候选</t>
        </is>
      </c>
    </row>
    <row r="10">
      <c r="B10" s="12" t="inlineStr">
        <is>
          <t>销售难度</t>
        </is>
      </c>
      <c r="C10" s="5" t="inlineStr">
        <is>
          <t>★★★</t>
        </is>
      </c>
      <c r="D10" s="5" t="inlineStr">
        <is>
          <t>★★</t>
        </is>
      </c>
      <c r="E10" s="5" t="inlineStr">
        <is>
          <t>★（最易成交）</t>
        </is>
      </c>
    </row>
    <row r="11">
      <c r="B11" s="12" t="inlineStr">
        <is>
          <t>公司利润</t>
        </is>
      </c>
      <c r="C11" s="5" t="inlineStr">
        <is>
          <t>稳健</t>
        </is>
      </c>
      <c r="D11" s="5" t="inlineStr">
        <is>
          <t>前低后高</t>
        </is>
      </c>
      <c r="E11" s="5" t="inlineStr">
        <is>
          <t>极高（封顶 1.5x）</t>
        </is>
      </c>
    </row>
  </sheetData>
  <mergeCells count="1"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2">
      <c r="B2" s="7" t="inlineStr">
        <is>
          <t>12 期分期月供模拟（基于报价计算器输入）</t>
        </is>
      </c>
    </row>
    <row r="4">
      <c r="B4" s="4" t="inlineStr">
        <is>
          <t>期数</t>
        </is>
      </c>
      <c r="C4" s="4" t="inlineStr">
        <is>
          <t>实施费分期</t>
        </is>
      </c>
      <c r="D4" s="4" t="inlineStr">
        <is>
          <t>月租</t>
        </is>
      </c>
      <c r="E4" s="4" t="inlineStr">
        <is>
          <t>当月合计</t>
        </is>
      </c>
    </row>
    <row r="5">
      <c r="B5" s="20" t="inlineStr">
        <is>
          <t>第 1 月</t>
        </is>
      </c>
      <c r="C5" s="6">
        <f>'报价计算器'!I10/12</f>
        <v/>
      </c>
      <c r="D5" s="6">
        <f>'报价计算器'!I11</f>
        <v/>
      </c>
      <c r="E5" s="10">
        <f>C5+D5</f>
        <v/>
      </c>
    </row>
    <row r="6">
      <c r="B6" s="20" t="inlineStr">
        <is>
          <t>第 2 月</t>
        </is>
      </c>
      <c r="C6" s="6">
        <f>'报价计算器'!I10/12</f>
        <v/>
      </c>
      <c r="D6" s="6">
        <f>'报价计算器'!I11</f>
        <v/>
      </c>
      <c r="E6" s="10">
        <f>C6+D6</f>
        <v/>
      </c>
    </row>
    <row r="7">
      <c r="B7" s="20" t="inlineStr">
        <is>
          <t>第 3 月</t>
        </is>
      </c>
      <c r="C7" s="6">
        <f>'报价计算器'!I10/12</f>
        <v/>
      </c>
      <c r="D7" s="6">
        <f>'报价计算器'!I11</f>
        <v/>
      </c>
      <c r="E7" s="10">
        <f>C7+D7</f>
        <v/>
      </c>
    </row>
    <row r="8">
      <c r="B8" s="20" t="inlineStr">
        <is>
          <t>第 4 月</t>
        </is>
      </c>
      <c r="C8" s="6">
        <f>'报价计算器'!I10/12</f>
        <v/>
      </c>
      <c r="D8" s="6">
        <f>'报价计算器'!I11</f>
        <v/>
      </c>
      <c r="E8" s="10">
        <f>C8+D8</f>
        <v/>
      </c>
    </row>
    <row r="9">
      <c r="B9" s="20" t="inlineStr">
        <is>
          <t>第 5 月</t>
        </is>
      </c>
      <c r="C9" s="6">
        <f>'报价计算器'!I10/12</f>
        <v/>
      </c>
      <c r="D9" s="6">
        <f>'报价计算器'!I11</f>
        <v/>
      </c>
      <c r="E9" s="10">
        <f>C9+D9</f>
        <v/>
      </c>
    </row>
    <row r="10">
      <c r="B10" s="20" t="inlineStr">
        <is>
          <t>第 6 月</t>
        </is>
      </c>
      <c r="C10" s="6">
        <f>'报价计算器'!I10/12</f>
        <v/>
      </c>
      <c r="D10" s="6">
        <f>'报价计算器'!I11</f>
        <v/>
      </c>
      <c r="E10" s="10">
        <f>C10+D10</f>
        <v/>
      </c>
    </row>
    <row r="11">
      <c r="B11" s="20" t="inlineStr">
        <is>
          <t>第 7 月</t>
        </is>
      </c>
      <c r="C11" s="6">
        <f>'报价计算器'!I10/12</f>
        <v/>
      </c>
      <c r="D11" s="6">
        <f>'报价计算器'!I11</f>
        <v/>
      </c>
      <c r="E11" s="10">
        <f>C11+D11</f>
        <v/>
      </c>
    </row>
    <row r="12">
      <c r="B12" s="20" t="inlineStr">
        <is>
          <t>第 8 月</t>
        </is>
      </c>
      <c r="C12" s="6">
        <f>'报价计算器'!I10/12</f>
        <v/>
      </c>
      <c r="D12" s="6">
        <f>'报价计算器'!I11</f>
        <v/>
      </c>
      <c r="E12" s="10">
        <f>C12+D12</f>
        <v/>
      </c>
    </row>
    <row r="13">
      <c r="B13" s="20" t="inlineStr">
        <is>
          <t>第 9 月</t>
        </is>
      </c>
      <c r="C13" s="6">
        <f>'报价计算器'!I10/12</f>
        <v/>
      </c>
      <c r="D13" s="6">
        <f>'报价计算器'!I11</f>
        <v/>
      </c>
      <c r="E13" s="10">
        <f>C13+D13</f>
        <v/>
      </c>
    </row>
    <row r="14">
      <c r="B14" s="20" t="inlineStr">
        <is>
          <t>第 10 月</t>
        </is>
      </c>
      <c r="C14" s="6">
        <f>'报价计算器'!I10/12</f>
        <v/>
      </c>
      <c r="D14" s="6">
        <f>'报价计算器'!I11</f>
        <v/>
      </c>
      <c r="E14" s="10">
        <f>C14+D14</f>
        <v/>
      </c>
    </row>
    <row r="15">
      <c r="B15" s="20" t="inlineStr">
        <is>
          <t>第 11 月</t>
        </is>
      </c>
      <c r="C15" s="6">
        <f>'报价计算器'!I10/12</f>
        <v/>
      </c>
      <c r="D15" s="6">
        <f>'报价计算器'!I11</f>
        <v/>
      </c>
      <c r="E15" s="10">
        <f>C15+D15</f>
        <v/>
      </c>
    </row>
    <row r="16">
      <c r="B16" s="20" t="inlineStr">
        <is>
          <t>第 12 月</t>
        </is>
      </c>
      <c r="C16" s="6">
        <f>'报价计算器'!I10/12</f>
        <v/>
      </c>
      <c r="D16" s="6">
        <f>'报价计算器'!I11</f>
        <v/>
      </c>
      <c r="E16" s="10">
        <f>C16+D16</f>
        <v/>
      </c>
    </row>
    <row r="17">
      <c r="B17" s="20" t="inlineStr">
        <is>
          <t>12 期合计</t>
        </is>
      </c>
      <c r="C17" s="10">
        <f>SUM(C5:C16)</f>
        <v/>
      </c>
      <c r="D17" s="10">
        <f>SUM(D5:D16)</f>
        <v/>
      </c>
      <c r="E17" s="10">
        <f>SUM(E5:E16)</f>
        <v/>
      </c>
    </row>
    <row r="19">
      <c r="B19" s="21" t="inlineStr">
        <is>
          <t>💬 现场销售话术：
"X 总，您看这一栏（指 E 列）：每月总共付 ¥XX，相当于多请一个不要五险一金的数字化助理，3 年下来比您一台二手叉车还便宜。
12 期分期免息，是我们和 XX 银行特别谈的合作政策，
现在签还送『前 30 天月租免单』，您可以先试一个月再决定要不要继续。"</t>
        </is>
      </c>
    </row>
    <row r="20"/>
    <row r="21"/>
    <row r="22"/>
  </sheetData>
  <mergeCells count="2">
    <mergeCell ref="B19:E22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2">
      <c r="B2" s="7" t="inlineStr">
        <is>
          <t>推荐返佣测算（基于报价计算器输入）</t>
        </is>
      </c>
    </row>
    <row r="4">
      <c r="B4" s="4" t="inlineStr">
        <is>
          <t>推荐人类型</t>
        </is>
      </c>
      <c r="C4" s="4" t="inlineStr">
        <is>
          <t>实施费返佣</t>
        </is>
      </c>
      <c r="D4" s="4" t="inlineStr">
        <is>
          <t>月租返佣</t>
        </is>
      </c>
      <c r="E4" s="4" t="inlineStr">
        <is>
          <t>返佣月数</t>
        </is>
      </c>
      <c r="F4" s="4" t="inlineStr">
        <is>
          <t>返佣金额合计</t>
        </is>
      </c>
      <c r="G4" s="4" t="inlineStr">
        <is>
          <t>结算说明</t>
        </is>
      </c>
    </row>
    <row r="5">
      <c r="B5" s="12" t="inlineStr">
        <is>
          <t>老客户（现金）</t>
        </is>
      </c>
      <c r="C5" s="22" t="n">
        <v>0.1</v>
      </c>
      <c r="D5" s="22" t="n">
        <v>0.05</v>
      </c>
      <c r="E5" s="5" t="n">
        <v>12</v>
      </c>
      <c r="F5" s="10">
        <f>'报价计算器'!I10*C5 + '报价计算器'!I11*D5*E5</f>
        <v/>
      </c>
      <c r="G5" s="3" t="inlineStr">
        <is>
          <t>现金或对公</t>
        </is>
      </c>
    </row>
    <row r="6">
      <c r="B6" s="12" t="inlineStr">
        <is>
          <t>老客户（抵自家月租 双倍）</t>
        </is>
      </c>
      <c r="C6" s="22" t="n">
        <v>0.2</v>
      </c>
      <c r="D6" s="22" t="n">
        <v>0.1</v>
      </c>
      <c r="E6" s="5" t="n">
        <v>12</v>
      </c>
      <c r="F6" s="10">
        <f>'报价计算器'!I10*C6 + '报价计算器'!I11*D6*E6</f>
        <v/>
      </c>
      <c r="G6" s="3" t="inlineStr">
        <is>
          <t>抵扣本人月订阅费</t>
        </is>
      </c>
    </row>
    <row r="7">
      <c r="B7" s="12" t="inlineStr">
        <is>
          <t>行业顾问 / KOL</t>
        </is>
      </c>
      <c r="C7" s="22" t="n">
        <v>0.15</v>
      </c>
      <c r="D7" s="22" t="n">
        <v>0.08</v>
      </c>
      <c r="E7" s="5" t="n">
        <v>24</v>
      </c>
      <c r="F7" s="10">
        <f>'报价计算器'!I10*C7 + '报价计算器'!I11*D7*E7</f>
        <v/>
      </c>
      <c r="G7" s="3" t="inlineStr">
        <is>
          <t>对公月结</t>
        </is>
      </c>
    </row>
    <row r="8">
      <c r="B8" s="12" t="inlineStr">
        <is>
          <t>区域代理（独家）</t>
        </is>
      </c>
      <c r="C8" s="22" t="n">
        <v>0.38</v>
      </c>
      <c r="D8" s="22" t="n">
        <v>0.2</v>
      </c>
      <c r="E8" s="5" t="n">
        <v>36</v>
      </c>
      <c r="F8" s="10">
        <f>'报价计算器'!I10*C8 + '报价计算器'!I11*D8*E8</f>
        <v/>
      </c>
      <c r="G8" s="3" t="inlineStr">
        <is>
          <t>月结，需达业绩门槛</t>
        </is>
      </c>
    </row>
    <row r="9">
      <c r="B9" s="12" t="inlineStr">
        <is>
          <t>设备厂商联合</t>
        </is>
      </c>
      <c r="C9" s="22" t="n">
        <v>0.2</v>
      </c>
      <c r="D9" s="22" t="n">
        <v>0.1</v>
      </c>
      <c r="E9" s="5" t="n">
        <v>18</v>
      </c>
      <c r="F9" s="10">
        <f>'报价计算器'!I10*C9 + '报价计算器'!I11*D9*E9</f>
        <v/>
      </c>
      <c r="G9" s="3" t="inlineStr">
        <is>
          <t>季结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2026-04-18T14:32:28Z</dcterms:created>
  <dcterms:modified xsi:type="dcterms:W3CDTF">2026-04-18T14:32:28Z</dcterms:modified>
</cp:coreProperties>
</file>