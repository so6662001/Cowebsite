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价格基准表" sheetId="2" state="visible" r:id="rId2"/>
    <sheet name="模块加购菜单" sheetId="3" state="visible" r:id="rId3"/>
    <sheet name="报价计算器" sheetId="4" state="visible" r:id="rId4"/>
    <sheet name="三年现金流" sheetId="5" state="visible" r:id="rId5"/>
    <sheet name="返佣测算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¥&quot;#,##0"/>
  </numFmts>
  <fonts count="10">
    <font>
      <name val="Calibri"/>
      <family val="2"/>
      <color theme="1"/>
      <sz val="11"/>
      <scheme val="minor"/>
    </font>
    <font>
      <name val="Microsoft YaHei"/>
      <b val="1"/>
      <color rgb="001F4E79"/>
      <sz val="18"/>
    </font>
    <font>
      <name val="Microsoft YaHei"/>
      <b val="1"/>
      <sz val="11"/>
    </font>
    <font>
      <name val="Microsoft YaHei"/>
      <sz val="10"/>
    </font>
    <font>
      <name val="Microsoft YaHei"/>
      <b val="1"/>
      <color rgb="00FFFFFF"/>
      <sz val="11"/>
    </font>
    <font>
      <name val="Microsoft YaHei"/>
      <b val="1"/>
      <color rgb="001F4E79"/>
      <sz val="16"/>
    </font>
    <font>
      <i val="1"/>
      <color rgb="00808080"/>
    </font>
    <font>
      <color rgb="00808080"/>
    </font>
    <font>
      <name val="Microsoft YaHei"/>
      <color rgb="00595959"/>
      <sz val="9"/>
    </font>
    <font>
      <name val="Microsoft YaHei"/>
      <b val="1"/>
      <color rgb="001F4E79"/>
      <sz val="14"/>
    </font>
  </fonts>
  <fills count="6">
    <fill>
      <patternFill/>
    </fill>
    <fill>
      <patternFill patternType="gray125"/>
    </fill>
    <fill>
      <patternFill patternType="solid">
        <fgColor rgb="00DEEBF7"/>
      </patternFill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5" fillId="0" borderId="0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164" fontId="3" fillId="5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top" wrapText="1"/>
    </xf>
    <xf numFmtId="0" fontId="9" fillId="0" borderId="0" pivotButton="0" quotePrefix="0" xfId="0"/>
    <xf numFmtId="9" fontId="3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9"/>
  <sheetViews>
    <sheetView workbookViewId="0">
      <selection activeCell="A1" sqref="A1"/>
    </sheetView>
  </sheetViews>
  <sheetFormatPr baseColWidth="8" defaultRowHeight="15"/>
  <cols>
    <col width="4" customWidth="1" min="1" max="1"/>
    <col width="60" customWidth="1" min="2" max="2"/>
    <col width="80" customWidth="1" min="3" max="3"/>
  </cols>
  <sheetData>
    <row r="2">
      <c r="B2" s="1" t="inlineStr">
        <is>
          <t>钢铁行业数字化系统报价单（v1.0）</t>
        </is>
      </c>
    </row>
    <row r="4" ht="30" customHeight="1">
      <c r="B4" s="2" t="inlineStr">
        <is>
          <t>适用对象</t>
        </is>
      </c>
      <c r="C4" s="3" t="inlineStr">
        <is>
          <t>公司销售、售前、渠道、合伙人。客户侧请用导出 PDF 版。</t>
        </is>
      </c>
    </row>
    <row r="5" ht="60" customHeight="1">
      <c r="B5" s="2" t="inlineStr">
        <is>
          <t>使用步骤</t>
        </is>
      </c>
      <c r="C5" s="3" t="inlineStr">
        <is>
          <t>① 打开『报价计算器』，按黄色单元格填写客户类型、产线数、模块勾选、付款方式、折扣率
② 绿色单元格自动计算报价
③ 切换到『三年现金流』查看 1/2/3 年总成本（含年付折扣）
④ 切换到『返佣测算』给推荐人算出预期收益</t>
        </is>
      </c>
    </row>
    <row r="6" ht="60" customHeight="1">
      <c r="B6" s="2" t="inlineStr">
        <is>
          <t>折扣权限</t>
        </is>
      </c>
      <c r="C6" s="3" t="inlineStr">
        <is>
          <t>销售：±5% 自批；销售总监：±15% 自批；超出由总经理审批。
一体厂自动叠加 88 折，已写在公式里，不要再二次打折。</t>
        </is>
      </c>
    </row>
    <row r="7" ht="60" customHeight="1">
      <c r="B7" s="2" t="inlineStr">
        <is>
          <t>不达标退款承诺</t>
        </is>
      </c>
      <c r="C7" s="3" t="inlineStr">
        <is>
          <t>标准合同含 6 个月 KPI 退款条款，禁止销售口头承诺更激进的条件。</t>
        </is>
      </c>
    </row>
    <row r="8" ht="60" customHeight="1">
      <c r="B8" s="2" t="inlineStr">
        <is>
          <t>数据维护</t>
        </is>
      </c>
      <c r="C8" s="3" t="inlineStr">
        <is>
          <t>『价格基准表』『模块加购菜单』可由产品/财务统一更新；不要在『报价计算器』里硬改公式。</t>
        </is>
      </c>
    </row>
    <row r="9" ht="60" customHeight="1">
      <c r="B9" s="2" t="inlineStr">
        <is>
          <t>注意事项</t>
        </is>
      </c>
      <c r="C9" s="3" t="inlineStr">
        <is>
          <t>1. 黄色 = 输入区；绿色 = 自动计算；蓝色 = 表头；不要改其它单元格
2. 任何低于成本线的报价必须出具《特价审批单》
3. 报价单有效期默认 30 天，过期需重新生成</t>
        </is>
      </c>
    </row>
  </sheetData>
  <mergeCells count="1"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2" customWidth="1" min="3" max="3"/>
    <col width="12" customWidth="1" min="4" max="4"/>
    <col width="16" customWidth="1" min="5" max="5"/>
    <col width="16" customWidth="1" min="6" max="6"/>
    <col width="16" customWidth="1" min="7" max="7"/>
    <col width="18" customWidth="1" min="8" max="8"/>
  </cols>
  <sheetData>
    <row r="1">
      <c r="A1" s="4" t="inlineStr">
        <is>
          <t>客户类型</t>
        </is>
      </c>
      <c r="B1" s="4" t="inlineStr">
        <is>
          <t>档位</t>
        </is>
      </c>
      <c r="C1" s="4" t="inlineStr">
        <is>
          <t>产线数下限</t>
        </is>
      </c>
      <c r="D1" s="4" t="inlineStr">
        <is>
          <t>产线数上限</t>
        </is>
      </c>
      <c r="E1" s="4" t="inlineStr">
        <is>
          <t>实施费下限(元)</t>
        </is>
      </c>
      <c r="F1" s="4" t="inlineStr">
        <is>
          <t>实施费上限(元)</t>
        </is>
      </c>
      <c r="G1" s="4" t="inlineStr">
        <is>
          <t>基础月费(元/月)</t>
        </is>
      </c>
      <c r="H1" s="4" t="inlineStr">
        <is>
          <t>单产线月费(元/月)</t>
        </is>
      </c>
    </row>
    <row r="2">
      <c r="A2" s="5" t="inlineStr">
        <is>
          <t>开平纵剪加工</t>
        </is>
      </c>
      <c r="B2" s="5" t="inlineStr">
        <is>
          <t>入门</t>
        </is>
      </c>
      <c r="C2" s="5" t="n">
        <v>1</v>
      </c>
      <c r="D2" s="5" t="n">
        <v>1</v>
      </c>
      <c r="E2" s="6" t="n">
        <v>60000</v>
      </c>
      <c r="F2" s="6" t="n">
        <v>90000</v>
      </c>
      <c r="G2" s="6" t="n">
        <v>3500</v>
      </c>
      <c r="H2" s="6" t="n">
        <v>2500</v>
      </c>
    </row>
    <row r="3">
      <c r="A3" s="5" t="inlineStr">
        <is>
          <t>开平纵剪加工</t>
        </is>
      </c>
      <c r="B3" s="5" t="inlineStr">
        <is>
          <t>标准</t>
        </is>
      </c>
      <c r="C3" s="5" t="n">
        <v>2</v>
      </c>
      <c r="D3" s="5" t="n">
        <v>3</v>
      </c>
      <c r="E3" s="6" t="n">
        <v>100000</v>
      </c>
      <c r="F3" s="6" t="n">
        <v>150000</v>
      </c>
      <c r="G3" s="6" t="n">
        <v>5500</v>
      </c>
      <c r="H3" s="6" t="n">
        <v>2200</v>
      </c>
    </row>
    <row r="4">
      <c r="A4" s="5" t="inlineStr">
        <is>
          <t>开平纵剪加工</t>
        </is>
      </c>
      <c r="B4" s="5" t="inlineStr">
        <is>
          <t>旗舰</t>
        </is>
      </c>
      <c r="C4" s="5" t="n">
        <v>4</v>
      </c>
      <c r="D4" s="5" t="n">
        <v>99</v>
      </c>
      <c r="E4" s="6" t="n">
        <v>180000</v>
      </c>
      <c r="F4" s="6" t="n">
        <v>250000</v>
      </c>
      <c r="G4" s="6" t="n">
        <v>8500</v>
      </c>
      <c r="H4" s="6" t="n">
        <v>1900</v>
      </c>
    </row>
    <row r="5">
      <c r="A5" s="5" t="inlineStr">
        <is>
          <t>钢管生产企业</t>
        </is>
      </c>
      <c r="B5" s="5" t="inlineStr">
        <is>
          <t>入门</t>
        </is>
      </c>
      <c r="C5" s="5" t="n">
        <v>1</v>
      </c>
      <c r="D5" s="5" t="n">
        <v>2</v>
      </c>
      <c r="E5" s="6" t="n">
        <v>120000</v>
      </c>
      <c r="F5" s="6" t="n">
        <v>180000</v>
      </c>
      <c r="G5" s="6" t="n">
        <v>7500</v>
      </c>
      <c r="H5" s="6" t="n">
        <v>3500</v>
      </c>
    </row>
    <row r="6">
      <c r="A6" s="5" t="inlineStr">
        <is>
          <t>钢管生产企业</t>
        </is>
      </c>
      <c r="B6" s="5" t="inlineStr">
        <is>
          <t>标准</t>
        </is>
      </c>
      <c r="C6" s="5" t="n">
        <v>3</v>
      </c>
      <c r="D6" s="5" t="n">
        <v>5</v>
      </c>
      <c r="E6" s="6" t="n">
        <v>220000</v>
      </c>
      <c r="F6" s="6" t="n">
        <v>300000</v>
      </c>
      <c r="G6" s="6" t="n">
        <v>11000</v>
      </c>
      <c r="H6" s="6" t="n">
        <v>3000</v>
      </c>
    </row>
    <row r="7">
      <c r="A7" s="5" t="inlineStr">
        <is>
          <t>钢管生产企业</t>
        </is>
      </c>
      <c r="B7" s="5" t="inlineStr">
        <is>
          <t>旗舰</t>
        </is>
      </c>
      <c r="C7" s="5" t="n">
        <v>6</v>
      </c>
      <c r="D7" s="5" t="n">
        <v>99</v>
      </c>
      <c r="E7" s="6" t="n">
        <v>350000</v>
      </c>
      <c r="F7" s="6" t="n">
        <v>500000</v>
      </c>
      <c r="G7" s="6" t="n">
        <v>17000</v>
      </c>
      <c r="H7" s="6" t="n">
        <v>2500</v>
      </c>
    </row>
    <row r="8">
      <c r="A8" s="5" t="inlineStr">
        <is>
          <t>镀锌冷卷企业</t>
        </is>
      </c>
      <c r="B8" s="5" t="inlineStr">
        <is>
          <t>单机组</t>
        </is>
      </c>
      <c r="C8" s="5" t="n">
        <v>1</v>
      </c>
      <c r="D8" s="5" t="n">
        <v>1</v>
      </c>
      <c r="E8" s="6" t="n">
        <v>180000</v>
      </c>
      <c r="F8" s="6" t="n">
        <v>250000</v>
      </c>
      <c r="G8" s="6" t="n">
        <v>9500</v>
      </c>
      <c r="H8" s="6" t="n">
        <v>6000</v>
      </c>
    </row>
    <row r="9">
      <c r="A9" s="5" t="inlineStr">
        <is>
          <t>镀锌冷卷企业</t>
        </is>
      </c>
      <c r="B9" s="5" t="inlineStr">
        <is>
          <t>双机组</t>
        </is>
      </c>
      <c r="C9" s="5" t="n">
        <v>2</v>
      </c>
      <c r="D9" s="5" t="n">
        <v>2</v>
      </c>
      <c r="E9" s="6" t="n">
        <v>280000</v>
      </c>
      <c r="F9" s="6" t="n">
        <v>380000</v>
      </c>
      <c r="G9" s="6" t="n">
        <v>14000</v>
      </c>
      <c r="H9" s="6" t="n">
        <v>5500</v>
      </c>
    </row>
    <row r="10">
      <c r="A10" s="5" t="inlineStr">
        <is>
          <t>镀锌冷卷企业</t>
        </is>
      </c>
      <c r="B10" s="5" t="inlineStr">
        <is>
          <t>多机组</t>
        </is>
      </c>
      <c r="C10" s="5" t="n">
        <v>3</v>
      </c>
      <c r="D10" s="5" t="n">
        <v>99</v>
      </c>
      <c r="E10" s="6" t="n">
        <v>450000</v>
      </c>
      <c r="F10" s="6" t="n">
        <v>650000</v>
      </c>
      <c r="G10" s="6" t="n">
        <v>21000</v>
      </c>
      <c r="H10" s="6" t="n">
        <v>5000</v>
      </c>
    </row>
    <row r="11">
      <c r="A11" s="5" t="inlineStr">
        <is>
          <t>一体厂</t>
        </is>
      </c>
      <c r="B11" s="5" t="inlineStr">
        <is>
          <t>入门</t>
        </is>
      </c>
      <c r="C11" s="5" t="n">
        <v>1</v>
      </c>
      <c r="D11" s="5" t="n">
        <v>99</v>
      </c>
      <c r="E11" s="6" t="n">
        <v>500000</v>
      </c>
      <c r="F11" s="6" t="n">
        <v>700000</v>
      </c>
      <c r="G11" s="6" t="n">
        <v>18000</v>
      </c>
      <c r="H11" s="6" t="n">
        <v>4500</v>
      </c>
    </row>
    <row r="12">
      <c r="A12" s="5" t="inlineStr">
        <is>
          <t>一体厂</t>
        </is>
      </c>
      <c r="B12" s="5" t="inlineStr">
        <is>
          <t>标准</t>
        </is>
      </c>
      <c r="C12" s="5" t="n">
        <v>3</v>
      </c>
      <c r="D12" s="5" t="n">
        <v>99</v>
      </c>
      <c r="E12" s="6" t="n">
        <v>700000</v>
      </c>
      <c r="F12" s="6" t="n">
        <v>900000</v>
      </c>
      <c r="G12" s="6" t="n">
        <v>24000</v>
      </c>
      <c r="H12" s="6" t="n">
        <v>4200</v>
      </c>
    </row>
    <row r="13">
      <c r="A13" s="5" t="inlineStr">
        <is>
          <t>一体厂</t>
        </is>
      </c>
      <c r="B13" s="5" t="inlineStr">
        <is>
          <t>旗舰</t>
        </is>
      </c>
      <c r="C13" s="5" t="n">
        <v>5</v>
      </c>
      <c r="D13" s="5" t="n">
        <v>99</v>
      </c>
      <c r="E13" s="6" t="n">
        <v>900000</v>
      </c>
      <c r="F13" s="6" t="n">
        <v>1200000</v>
      </c>
      <c r="G13" s="6" t="n">
        <v>32000</v>
      </c>
      <c r="H13" s="6" t="n">
        <v>4000</v>
      </c>
    </row>
    <row r="16">
      <c r="A16" s="7" t="inlineStr">
        <is>
          <t>说明：</t>
        </is>
      </c>
      <c r="B16" s="8" t="inlineStr">
        <is>
          <t>一体厂报价 = 钢管 + 镀锌叠加后再打 88 折；销售如直接选『一体厂』档位则使用上表数值。</t>
        </is>
      </c>
    </row>
  </sheetData>
  <mergeCells count="1">
    <mergeCell ref="B16:H1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28" customWidth="1" min="1" max="1"/>
    <col width="10" customWidth="1" min="2" max="2"/>
    <col width="18" customWidth="1" min="3" max="3"/>
    <col width="36" customWidth="1" min="4" max="4"/>
  </cols>
  <sheetData>
    <row r="1">
      <c r="A1" s="4" t="inlineStr">
        <is>
          <t>模块</t>
        </is>
      </c>
      <c r="B1" s="4" t="inlineStr">
        <is>
          <t>默认</t>
        </is>
      </c>
      <c r="C1" s="4" t="inlineStr">
        <is>
          <t>月租加价(元/月)</t>
        </is>
      </c>
      <c r="D1" s="4" t="inlineStr">
        <is>
          <t>备注</t>
        </is>
      </c>
    </row>
    <row r="2">
      <c r="A2" s="5" t="inlineStr">
        <is>
          <t>ERP 基础</t>
        </is>
      </c>
      <c r="B2" s="5" t="inlineStr">
        <is>
          <t>含</t>
        </is>
      </c>
      <c r="C2" s="6" t="n">
        <v>0</v>
      </c>
      <c r="D2" s="5" t="inlineStr">
        <is>
          <t>标配</t>
        </is>
      </c>
    </row>
    <row r="3">
      <c r="A3" s="5" t="inlineStr">
        <is>
          <t>MES 核心(计划/排程/质检)</t>
        </is>
      </c>
      <c r="B3" s="5" t="inlineStr">
        <is>
          <t>含</t>
        </is>
      </c>
      <c r="C3" s="6" t="n">
        <v>0</v>
      </c>
      <c r="D3" s="5" t="inlineStr">
        <is>
          <t>标配</t>
        </is>
      </c>
    </row>
    <row r="4">
      <c r="A4" s="5" t="inlineStr">
        <is>
          <t>质量追溯(卷号/炉批号)</t>
        </is>
      </c>
      <c r="B4" s="5" t="inlineStr">
        <is>
          <t>可选</t>
        </is>
      </c>
      <c r="C4" s="6" t="n">
        <v>2000</v>
      </c>
      <c r="D4" s="5" t="inlineStr">
        <is>
          <t>A/C 类首选首单</t>
        </is>
      </c>
    </row>
    <row r="5">
      <c r="A5" s="5" t="inlineStr">
        <is>
          <t>设备管理 EAM</t>
        </is>
      </c>
      <c r="B5" s="5" t="inlineStr">
        <is>
          <t>可选</t>
        </is>
      </c>
      <c r="C5" s="6" t="n">
        <v>2200</v>
      </c>
      <c r="D5" s="5" t="inlineStr">
        <is>
          <t>C/D 类必推</t>
        </is>
      </c>
    </row>
    <row r="6">
      <c r="A6" s="5" t="inlineStr">
        <is>
          <t>WMS 仓储</t>
        </is>
      </c>
      <c r="B6" s="5" t="inlineStr">
        <is>
          <t>可选</t>
        </is>
      </c>
      <c r="C6" s="6" t="n">
        <v>2200</v>
      </c>
      <c r="D6" s="5" t="inlineStr">
        <is>
          <t>多仓再加 ¥1,000</t>
        </is>
      </c>
    </row>
    <row r="7">
      <c r="A7" s="5" t="inlineStr">
        <is>
          <t>财务系统</t>
        </is>
      </c>
      <c r="B7" s="5" t="inlineStr">
        <is>
          <t>可选</t>
        </is>
      </c>
      <c r="C7" s="6" t="n">
        <v>2000</v>
      </c>
      <c r="D7" s="5" t="inlineStr">
        <is>
          <t>可对接金蝶/用友</t>
        </is>
      </c>
    </row>
    <row r="8">
      <c r="A8" s="5" t="inlineStr">
        <is>
          <t>成本自动化核算</t>
        </is>
      </c>
      <c r="B8" s="5" t="inlineStr">
        <is>
          <t>可选</t>
        </is>
      </c>
      <c r="C8" s="6" t="n">
        <v>3000</v>
      </c>
      <c r="D8" s="5" t="inlineStr">
        <is>
          <t>A 类首选首单</t>
        </is>
      </c>
    </row>
    <row r="9">
      <c r="A9" s="5" t="inlineStr">
        <is>
          <t>MES 旗舰版升级</t>
        </is>
      </c>
      <c r="B9" s="5" t="inlineStr">
        <is>
          <t>可选</t>
        </is>
      </c>
      <c r="C9" s="6" t="n">
        <v>2000</v>
      </c>
      <c r="D9" s="5" t="inlineStr">
        <is>
          <t>高级排程/OEE/SPC</t>
        </is>
      </c>
    </row>
    <row r="10">
      <c r="A10" s="5" t="inlineStr">
        <is>
          <t>多仓位扩展</t>
        </is>
      </c>
      <c r="B10" s="5" t="inlineStr">
        <is>
          <t>可选</t>
        </is>
      </c>
      <c r="C10" s="6" t="n">
        <v>1000</v>
      </c>
      <c r="D10" s="5" t="inlineStr">
        <is>
          <t>WMS 启用后可加</t>
        </is>
      </c>
    </row>
    <row r="11">
      <c r="A11" s="5" t="inlineStr">
        <is>
          <t>移动 BI 看板</t>
        </is>
      </c>
      <c r="B11" s="5" t="inlineStr">
        <is>
          <t>可选</t>
        </is>
      </c>
      <c r="C11" s="6" t="n">
        <v>1500</v>
      </c>
      <c r="D11" s="5" t="inlineStr">
        <is>
          <t>老板手机端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I25"/>
  <sheetViews>
    <sheetView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18" customWidth="1" min="8" max="8"/>
    <col width="18" customWidth="1" min="9" max="9"/>
    <col width="18" customWidth="1" min="10" max="10"/>
  </cols>
  <sheetData>
    <row r="2">
      <c r="B2" s="9" t="inlineStr">
        <is>
          <t>客户报价计算器</t>
        </is>
      </c>
    </row>
    <row r="4">
      <c r="B4" s="2" t="inlineStr">
        <is>
          <t>一、客户基础信息（黄色 = 必填）</t>
        </is>
      </c>
      <c r="E4" s="2" t="inlineStr">
        <is>
          <t>二、模块勾选（√ = 启用）</t>
        </is>
      </c>
    </row>
    <row r="5">
      <c r="B5" s="10" t="inlineStr">
        <is>
          <t>客户全称</t>
        </is>
      </c>
      <c r="C5" s="11" t="inlineStr"/>
      <c r="E5" s="3" t="inlineStr">
        <is>
          <t>质量追溯(卷号/炉批号)</t>
        </is>
      </c>
      <c r="F5" s="12" t="inlineStr">
        <is>
          <t>√</t>
        </is>
      </c>
      <c r="H5" s="13" t="inlineStr">
        <is>
          <t>—— 内部计算辅助列 ——</t>
        </is>
      </c>
    </row>
    <row r="6">
      <c r="B6" s="10" t="inlineStr">
        <is>
          <t>联系人 / 职务 / 电话</t>
        </is>
      </c>
      <c r="C6" s="11" t="inlineStr"/>
      <c r="E6" s="3" t="inlineStr">
        <is>
          <t>设备管理 EAM</t>
        </is>
      </c>
      <c r="F6" s="12" t="inlineStr"/>
      <c r="H6" s="14" t="inlineStr">
        <is>
          <t>实施费下限</t>
        </is>
      </c>
      <c r="I6" s="15">
        <f>SUMPRODUCT(('价格基准表'!$A$2:$A$13=$C$7)*('价格基准表'!$B$2:$B$13=$C$8)*'价格基准表'!$E$2:$E$13)</f>
        <v/>
      </c>
    </row>
    <row r="7">
      <c r="B7" s="10" t="inlineStr">
        <is>
          <t>客户类型</t>
        </is>
      </c>
      <c r="C7" s="11" t="inlineStr">
        <is>
          <t>钢管生产企业</t>
        </is>
      </c>
      <c r="E7" s="3" t="inlineStr">
        <is>
          <t>WMS 仓储</t>
        </is>
      </c>
      <c r="F7" s="12" t="inlineStr"/>
      <c r="H7" s="14" t="inlineStr">
        <is>
          <t>实施费上限</t>
        </is>
      </c>
      <c r="I7" s="15">
        <f>SUMPRODUCT(('价格基准表'!$A$2:$A$13=$C$7)*('价格基准表'!$B$2:$B$13=$C$8)*'价格基准表'!$F$2:$F$13)</f>
        <v/>
      </c>
    </row>
    <row r="8">
      <c r="B8" s="10" t="inlineStr">
        <is>
          <t>档位</t>
        </is>
      </c>
      <c r="C8" s="11" t="inlineStr">
        <is>
          <t>标准</t>
        </is>
      </c>
      <c r="E8" s="3" t="inlineStr">
        <is>
          <t>财务系统</t>
        </is>
      </c>
      <c r="F8" s="12" t="inlineStr"/>
      <c r="H8" s="14" t="inlineStr">
        <is>
          <t>基础月费</t>
        </is>
      </c>
      <c r="I8" s="15">
        <f>SUMPRODUCT(('价格基准表'!$A$2:$A$13=$C$7)*('价格基准表'!$B$2:$B$13=$C$8)*'价格基准表'!$G$2:$G$13)</f>
        <v/>
      </c>
    </row>
    <row r="9">
      <c r="B9" s="10" t="inlineStr">
        <is>
          <t>产线 / 机组数</t>
        </is>
      </c>
      <c r="C9" s="11" t="n">
        <v>3</v>
      </c>
      <c r="E9" s="3" t="inlineStr">
        <is>
          <t>成本自动化核算</t>
        </is>
      </c>
      <c r="F9" s="12" t="inlineStr">
        <is>
          <t>√</t>
        </is>
      </c>
      <c r="H9" s="14" t="inlineStr">
        <is>
          <t>单产线月费</t>
        </is>
      </c>
      <c r="I9" s="15">
        <f>SUMPRODUCT(('价格基准表'!$A$2:$A$13=$C$7)*('价格基准表'!$B$2:$B$13=$C$8)*'价格基准表'!$H$2:$H$13)</f>
        <v/>
      </c>
    </row>
    <row r="10">
      <c r="B10" s="10" t="inlineStr">
        <is>
          <t>销售折扣率(0.85~1.00)</t>
        </is>
      </c>
      <c r="C10" s="11" t="n">
        <v>1</v>
      </c>
      <c r="E10" s="3" t="inlineStr">
        <is>
          <t>MES 旗舰版升级</t>
        </is>
      </c>
      <c r="F10" s="12" t="inlineStr"/>
      <c r="H10" s="14" t="inlineStr">
        <is>
          <t>模块加价合计</t>
        </is>
      </c>
      <c r="I10" s="15">
        <f>SUMPRODUCT(($F$5:$F$12="√")*'模块加购菜单'!$C$4:$C$11)</f>
        <v/>
      </c>
    </row>
    <row r="11">
      <c r="B11" s="10" t="inlineStr">
        <is>
          <t>付款方式</t>
        </is>
      </c>
      <c r="C11" s="11" t="inlineStr">
        <is>
          <t>月付</t>
        </is>
      </c>
      <c r="E11" s="3" t="inlineStr">
        <is>
          <t>多仓位扩展</t>
        </is>
      </c>
      <c r="F11" s="12" t="inlineStr"/>
      <c r="H11" s="14" t="inlineStr">
        <is>
          <t>实施费推荐</t>
        </is>
      </c>
      <c r="I11" s="15">
        <f>ROUND(((I6+I7)/2)*$C$10,-2)</f>
        <v/>
      </c>
    </row>
    <row r="12">
      <c r="E12" s="3" t="inlineStr">
        <is>
          <t>移动 BI 看板</t>
        </is>
      </c>
      <c r="F12" s="12" t="inlineStr"/>
      <c r="H12" s="14" t="inlineStr">
        <is>
          <t>月订阅费(月付)</t>
        </is>
      </c>
      <c r="I12" s="15">
        <f>ROUND((I8 + I9*$C$9 + I10)*$C$10,-1)</f>
        <v/>
      </c>
    </row>
    <row r="13">
      <c r="H13" s="14" t="inlineStr">
        <is>
          <t>支付方式系数</t>
        </is>
      </c>
      <c r="I13" s="16">
        <f>IF($C$11="年付",0.9,IF($C$11="季付",0.97,1))</f>
        <v/>
      </c>
    </row>
    <row r="14">
      <c r="B14" s="2" t="inlineStr">
        <is>
          <t>三、自动计算（绿色 = 输出）</t>
        </is>
      </c>
      <c r="H14" s="14" t="inlineStr">
        <is>
          <t>月订阅费(实付)</t>
        </is>
      </c>
      <c r="I14" s="15">
        <f>ROUND(I12*I13,-1)</f>
        <v/>
      </c>
    </row>
    <row r="16">
      <c r="B16" s="10" t="inlineStr">
        <is>
          <t>一次性实施费（建议成交价）</t>
        </is>
      </c>
      <c r="E16" s="17">
        <f>I11</f>
        <v/>
      </c>
    </row>
    <row r="17">
      <c r="B17" s="10" t="inlineStr">
        <is>
          <t>月订阅费（实际收取）</t>
        </is>
      </c>
      <c r="E17" s="17">
        <f>I14</f>
        <v/>
      </c>
    </row>
    <row r="18">
      <c r="B18" s="10" t="inlineStr">
        <is>
          <t>一年总投入（实施费 + 月费*12）</t>
        </is>
      </c>
      <c r="E18" s="17">
        <f>I11 + I14*12</f>
        <v/>
      </c>
    </row>
    <row r="19">
      <c r="B19" s="10" t="inlineStr">
        <is>
          <t>三年总投入（实施费 + 月费*36）</t>
        </is>
      </c>
      <c r="E19" s="17">
        <f>I11 + I14*36</f>
        <v/>
      </c>
    </row>
    <row r="20">
      <c r="B20" s="10" t="inlineStr">
        <is>
          <t>销售提成（实施费 8% + 12 个月月租 3%）</t>
        </is>
      </c>
      <c r="E20" s="17">
        <f>I11*0.08 + I14*12*0.03</f>
        <v/>
      </c>
    </row>
    <row r="22">
      <c r="B22" s="18" t="inlineStr">
        <is>
          <t>备注：
1. 一次性实施费默认 = (基准下限+上限)/2 × 折扣率，可按客户复杂度上下调整
2. 月订阅费 = (基础月费 + 单产线月费 × 产线数 + 模块加价) × 折扣率 × 支付方式系数
3. 一体厂建议直接选『一体厂』客户类型，已隐含 88 折逻辑（基准表数值已综合）
4. 销售自批折扣 0.95-1.00；销售总监 0.85-0.95；低于 0.85 须总经理审批</t>
        </is>
      </c>
    </row>
    <row r="23"/>
    <row r="24"/>
    <row r="25"/>
  </sheetData>
  <mergeCells count="15">
    <mergeCell ref="E4:F4"/>
    <mergeCell ref="B19:D19"/>
    <mergeCell ref="E20:F20"/>
    <mergeCell ref="E16:F16"/>
    <mergeCell ref="B2:F2"/>
    <mergeCell ref="B22:F25"/>
    <mergeCell ref="E19:F19"/>
    <mergeCell ref="B17:D17"/>
    <mergeCell ref="B18:D18"/>
    <mergeCell ref="B14:F14"/>
    <mergeCell ref="E17:F17"/>
    <mergeCell ref="E18:F18"/>
    <mergeCell ref="B4:C4"/>
    <mergeCell ref="B16:D16"/>
    <mergeCell ref="B20:D20"/>
  </mergeCells>
  <dataValidations count="5">
    <dataValidation sqref="C7" showDropDown="0" showInputMessage="0" showErrorMessage="0" allowBlank="0" type="list">
      <formula1>"开平纵剪加工,钢管生产企业,镀锌冷卷企业,一体厂"</formula1>
    </dataValidation>
    <dataValidation sqref="C8" showDropDown="0" showInputMessage="0" showErrorMessage="0" allowBlank="0" type="list">
      <formula1>"入门,标准,旗舰,单机组,双机组,多机组"</formula1>
    </dataValidation>
    <dataValidation sqref="C11" showDropDown="0" showInputMessage="0" showErrorMessage="0" allowBlank="0" type="list">
      <formula1>"月付,季付,年付"</formula1>
    </dataValidation>
    <dataValidation sqref="C10" showDropDown="0" showInputMessage="0" showErrorMessage="0" allowBlank="0" errorTitle="折扣超限" error="销售自批折扣范围 0.85-1.00" type="decimal" operator="between">
      <formula1>0.85</formula1>
      <formula2>1.0</formula2>
    </dataValidation>
    <dataValidation sqref="F5:F12" showDropDown="0" showInputMessage="0" showErrorMessage="0" allowBlank="1" type="list">
      <formula1>"√,"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9"/>
  <sheetViews>
    <sheetView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18" customWidth="1" min="3" max="3"/>
    <col width="18" customWidth="1" min="4" max="4"/>
    <col width="18" customWidth="1" min="5" max="5"/>
  </cols>
  <sheetData>
    <row r="2">
      <c r="B2" s="19" t="inlineStr">
        <is>
          <t>三年总投入对比（自动引用『报价计算器』）</t>
        </is>
      </c>
    </row>
    <row r="4">
      <c r="B4" s="4" t="inlineStr">
        <is>
          <t>项目</t>
        </is>
      </c>
      <c r="C4" s="4" t="inlineStr">
        <is>
          <t>第 1 年</t>
        </is>
      </c>
      <c r="D4" s="4" t="inlineStr">
        <is>
          <t>第 2 年</t>
        </is>
      </c>
      <c r="E4" s="4" t="inlineStr">
        <is>
          <t>第 3 年</t>
        </is>
      </c>
    </row>
    <row r="5">
      <c r="B5" s="10" t="inlineStr">
        <is>
          <t>一次性实施费</t>
        </is>
      </c>
      <c r="C5" s="6">
        <f>'报价计算器'!I11</f>
        <v/>
      </c>
      <c r="D5" s="6" t="n">
        <v>0</v>
      </c>
      <c r="E5" s="6" t="n">
        <v>0</v>
      </c>
    </row>
    <row r="6">
      <c r="B6" s="10" t="inlineStr">
        <is>
          <t>月订阅费 × 12</t>
        </is>
      </c>
      <c r="C6" s="6">
        <f>'报价计算器'!I14*12</f>
        <v/>
      </c>
      <c r="D6" s="6">
        <f>'报价计算器'!I14*12</f>
        <v/>
      </c>
      <c r="E6" s="6">
        <f>'报价计算器'!I14*12</f>
        <v/>
      </c>
    </row>
    <row r="7">
      <c r="B7" s="10" t="inlineStr">
        <is>
          <t>年付折扣返还(年付时已含)</t>
        </is>
      </c>
      <c r="C7" s="6" t="n">
        <v>0</v>
      </c>
      <c r="D7" s="6" t="n">
        <v>0</v>
      </c>
      <c r="E7" s="6" t="n">
        <v>0</v>
      </c>
    </row>
    <row r="8">
      <c r="B8" s="10" t="inlineStr">
        <is>
          <t>年度合计</t>
        </is>
      </c>
      <c r="C8" s="17">
        <f>C5+C6+C7</f>
        <v/>
      </c>
      <c r="D8" s="17">
        <f>D5+D6+D7</f>
        <v/>
      </c>
      <c r="E8" s="17">
        <f>E5+E6+E7</f>
        <v/>
      </c>
    </row>
    <row r="9">
      <c r="B9" s="10" t="inlineStr">
        <is>
          <t>累计合计</t>
        </is>
      </c>
      <c r="C9" s="17">
        <f>C8</f>
        <v/>
      </c>
      <c r="D9" s="17">
        <f>C9+D8</f>
        <v/>
      </c>
      <c r="E9" s="17">
        <f>D9+E8</f>
        <v/>
      </c>
    </row>
  </sheetData>
  <mergeCells count="1">
    <mergeCell ref="B2:E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1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18" customWidth="1" min="3" max="3"/>
    <col width="18" customWidth="1" min="4" max="4"/>
    <col width="18" customWidth="1" min="5" max="5"/>
    <col width="28" customWidth="1" min="6" max="6"/>
  </cols>
  <sheetData>
    <row r="2">
      <c r="B2" s="19" t="inlineStr">
        <is>
          <t>推荐返佣快速测算（自动引用『报价计算器』）</t>
        </is>
      </c>
    </row>
    <row r="4">
      <c r="B4" s="2" t="inlineStr">
        <is>
          <t>假设以本次报价的客户作为被推荐客户来测算推荐人收益</t>
        </is>
      </c>
    </row>
    <row r="6">
      <c r="B6" s="4" t="inlineStr">
        <is>
          <t>推荐人类型</t>
        </is>
      </c>
      <c r="C6" s="4" t="inlineStr">
        <is>
          <t>实施费返佣比例</t>
        </is>
      </c>
      <c r="D6" s="4" t="inlineStr">
        <is>
          <t>月租返佣比例</t>
        </is>
      </c>
      <c r="E6" s="4" t="inlineStr">
        <is>
          <t>返佣月数</t>
        </is>
      </c>
      <c r="F6" s="4" t="inlineStr">
        <is>
          <t>返佣金额合计</t>
        </is>
      </c>
      <c r="G6" s="4" t="inlineStr">
        <is>
          <t>结算说明</t>
        </is>
      </c>
    </row>
    <row r="7">
      <c r="B7" s="10" t="inlineStr">
        <is>
          <t>老客户(现金)</t>
        </is>
      </c>
      <c r="C7" s="20" t="n">
        <v>0.1</v>
      </c>
      <c r="D7" s="20" t="n">
        <v>0.05</v>
      </c>
      <c r="E7" s="5" t="n">
        <v>12</v>
      </c>
      <c r="F7" s="17">
        <f>'报价计算器'!I11*C7 + '报价计算器'!I14*D7*E7</f>
        <v/>
      </c>
      <c r="G7" s="3" t="inlineStr">
        <is>
          <t>现金或对公</t>
        </is>
      </c>
    </row>
    <row r="8">
      <c r="B8" s="10" t="inlineStr">
        <is>
          <t>老客户(抵自家月租 双倍)</t>
        </is>
      </c>
      <c r="C8" s="20" t="n">
        <v>0.2</v>
      </c>
      <c r="D8" s="20" t="n">
        <v>0.1</v>
      </c>
      <c r="E8" s="5" t="n">
        <v>12</v>
      </c>
      <c r="F8" s="17">
        <f>'报价计算器'!I11*C8 + '报价计算器'!I14*D8*E8</f>
        <v/>
      </c>
      <c r="G8" s="3" t="inlineStr">
        <is>
          <t>抵扣本人月订阅费</t>
        </is>
      </c>
    </row>
    <row r="9">
      <c r="B9" s="10" t="inlineStr">
        <is>
          <t>行业顾问/KOL</t>
        </is>
      </c>
      <c r="C9" s="20" t="n">
        <v>0.15</v>
      </c>
      <c r="D9" s="20" t="n">
        <v>0.08</v>
      </c>
      <c r="E9" s="5" t="n">
        <v>24</v>
      </c>
      <c r="F9" s="17">
        <f>'报价计算器'!I11*C9 + '报价计算器'!I14*D9*E9</f>
        <v/>
      </c>
      <c r="G9" s="3" t="inlineStr">
        <is>
          <t>对公月结</t>
        </is>
      </c>
    </row>
    <row r="10">
      <c r="B10" s="10" t="inlineStr">
        <is>
          <t>区域代理(独家)</t>
        </is>
      </c>
      <c r="C10" s="20" t="n">
        <v>0.38</v>
      </c>
      <c r="D10" s="20" t="n">
        <v>0.2</v>
      </c>
      <c r="E10" s="5" t="n">
        <v>36</v>
      </c>
      <c r="F10" s="17">
        <f>'报价计算器'!I11*C10 + '报价计算器'!I14*D10*E10</f>
        <v/>
      </c>
      <c r="G10" s="3" t="inlineStr">
        <is>
          <t>月结，需达业绩门槛</t>
        </is>
      </c>
    </row>
    <row r="11">
      <c r="B11" s="10" t="inlineStr">
        <is>
          <t>设备厂商联合</t>
        </is>
      </c>
      <c r="C11" s="20" t="n">
        <v>0.2</v>
      </c>
      <c r="D11" s="20" t="n">
        <v>0.1</v>
      </c>
      <c r="E11" s="5" t="n">
        <v>18</v>
      </c>
      <c r="F11" s="17">
        <f>'报价计算器'!I11*C11 + '报价计算器'!I14*D11*E11</f>
        <v/>
      </c>
      <c r="G11" s="3" t="inlineStr">
        <is>
          <t>季结+联合活动费</t>
        </is>
      </c>
    </row>
  </sheetData>
  <mergeCells count="2">
    <mergeCell ref="B2:F2"/>
    <mergeCell ref="B4:F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2026-04-18T14:15:51Z</dcterms:created>
  <dcterms:modified xsi:type="dcterms:W3CDTF">2026-04-18T14:15:51Z</dcterms:modified>
</cp:coreProperties>
</file>